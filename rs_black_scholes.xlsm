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525" windowWidth="17955" windowHeight="8040"/>
  </bookViews>
  <sheets>
    <sheet name="RiskSlide" sheetId="1" r:id="rId1"/>
    <sheet name="CalculationSheet" sheetId="2" r:id="rId2"/>
    <sheet name="Sheet1" sheetId="3" r:id="rId3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D36" i="1" l="1"/>
  <c r="L115" i="1"/>
  <c r="L119" i="1"/>
  <c r="L128" i="1"/>
  <c r="L110" i="1"/>
  <c r="L38" i="1"/>
  <c r="L70" i="1"/>
  <c r="L40" i="1"/>
  <c r="L41" i="1"/>
  <c r="L39" i="1"/>
  <c r="L71" i="1"/>
  <c r="L44" i="1"/>
  <c r="L45" i="1"/>
  <c r="L37" i="1"/>
  <c r="L105" i="1"/>
  <c r="L114" i="1"/>
  <c r="L42" i="1"/>
  <c r="L74" i="1"/>
  <c r="L48" i="1"/>
  <c r="L49" i="1"/>
  <c r="L43" i="1"/>
  <c r="L75" i="1"/>
  <c r="L52" i="1"/>
  <c r="L53" i="1"/>
  <c r="L36" i="1"/>
  <c r="L118" i="1"/>
  <c r="L46" i="1"/>
  <c r="L56" i="1"/>
  <c r="L57" i="1"/>
  <c r="L79" i="1"/>
  <c r="L61" i="1"/>
  <c r="L113" i="1"/>
  <c r="L50" i="1"/>
  <c r="L82" i="1"/>
  <c r="L65" i="1"/>
  <c r="L83" i="1"/>
  <c r="L69" i="1"/>
  <c r="BD5" i="2"/>
  <c r="L103" i="1"/>
  <c r="L117" i="1"/>
  <c r="L54" i="1"/>
  <c r="L86" i="1"/>
  <c r="L55" i="1"/>
  <c r="L76" i="1"/>
  <c r="H102" i="1"/>
  <c r="AF73" i="2"/>
  <c r="CG73" i="2"/>
  <c r="BG73" i="2"/>
  <c r="L121" i="1"/>
  <c r="L90" i="1"/>
  <c r="L80" i="1"/>
  <c r="L91" i="1"/>
  <c r="H36" i="1"/>
  <c r="AB73" i="2"/>
  <c r="CC73" i="2"/>
  <c r="BC73" i="2"/>
  <c r="AW7" i="2"/>
  <c r="AJ7" i="2"/>
  <c r="BH7" i="2"/>
  <c r="L111" i="1"/>
  <c r="L102" i="1"/>
  <c r="L62" i="1"/>
  <c r="L89" i="1"/>
  <c r="L92" i="1"/>
  <c r="BA73" i="2"/>
  <c r="AE73" i="2"/>
  <c r="CB73" i="2"/>
  <c r="BF73" i="2"/>
  <c r="AS7" i="2"/>
  <c r="L123" i="1"/>
  <c r="AR73" i="2"/>
  <c r="AD7" i="2"/>
  <c r="AZ7" i="2"/>
  <c r="BU7" i="2"/>
  <c r="CA7" i="2"/>
  <c r="L109" i="1"/>
  <c r="L78" i="1"/>
  <c r="L47" i="1"/>
  <c r="L60" i="1"/>
  <c r="AP73" i="2"/>
  <c r="AN73" i="2"/>
  <c r="O73" i="2"/>
  <c r="BI73" i="2"/>
  <c r="BV73" i="2"/>
  <c r="V7" i="2"/>
  <c r="AA7" i="2"/>
  <c r="P7" i="2"/>
  <c r="BT7" i="2"/>
  <c r="CD7" i="2"/>
  <c r="L122" i="1"/>
  <c r="L64" i="1"/>
  <c r="L51" i="1"/>
  <c r="L68" i="1"/>
  <c r="AH73" i="2"/>
  <c r="AJ73" i="2"/>
  <c r="AX73" i="2"/>
  <c r="BE73" i="2"/>
  <c r="BK73" i="2"/>
  <c r="AM7" i="2"/>
  <c r="Y7" i="2"/>
  <c r="AR7" i="2"/>
  <c r="BP7" i="2"/>
  <c r="BZ7" i="2"/>
  <c r="L108" i="1"/>
  <c r="L126" i="1"/>
  <c r="L72" i="1"/>
  <c r="L87" i="1"/>
  <c r="L77" i="1"/>
  <c r="Z73" i="2"/>
  <c r="AM73" i="2"/>
  <c r="CJ73" i="2"/>
  <c r="BN73" i="2"/>
  <c r="U7" i="2"/>
  <c r="CM7" i="2"/>
  <c r="BO7" i="2"/>
  <c r="L112" i="1"/>
  <c r="L124" i="1"/>
  <c r="L81" i="1"/>
  <c r="L85" i="1"/>
  <c r="Q73" i="2"/>
  <c r="AI73" i="2"/>
  <c r="CF73" i="2"/>
  <c r="BJ73" i="2"/>
  <c r="Q7" i="2"/>
  <c r="CK7" i="2"/>
  <c r="BK7" i="2"/>
  <c r="L125" i="1"/>
  <c r="L94" i="1"/>
  <c r="L63" i="1"/>
  <c r="L93" i="1"/>
  <c r="M73" i="2"/>
  <c r="V73" i="2"/>
  <c r="CE73" i="2"/>
  <c r="O7" i="2"/>
  <c r="AH7" i="2"/>
  <c r="L127" i="1"/>
  <c r="L7" i="2"/>
  <c r="L73" i="1"/>
  <c r="U73" i="2"/>
  <c r="AL73" i="2"/>
  <c r="BD73" i="2"/>
  <c r="AE7" i="2"/>
  <c r="AN7" i="2"/>
  <c r="BL7" i="2"/>
  <c r="L107" i="1"/>
  <c r="L58" i="1"/>
  <c r="L59" i="1"/>
  <c r="L84" i="1"/>
  <c r="R73" i="2"/>
  <c r="AD73" i="2"/>
  <c r="CM73" i="2"/>
  <c r="W7" i="2"/>
  <c r="AP7" i="2"/>
  <c r="BE7" i="2"/>
  <c r="BR7" i="2"/>
  <c r="L116" i="1"/>
  <c r="L88" i="1"/>
  <c r="L95" i="1"/>
  <c r="I36" i="1"/>
  <c r="X73" i="2"/>
  <c r="BY73" i="2"/>
  <c r="CL73" i="2"/>
  <c r="M7" i="2"/>
  <c r="L104" i="1"/>
  <c r="L120" i="1"/>
  <c r="L106" i="1"/>
  <c r="K102" i="1"/>
  <c r="L66" i="1"/>
  <c r="BX73" i="2"/>
  <c r="AF7" i="2"/>
  <c r="BG7" i="2"/>
  <c r="AO7" i="2"/>
  <c r="L100" i="1"/>
  <c r="L98" i="1"/>
  <c r="K73" i="2"/>
  <c r="CA73" i="2"/>
  <c r="AB7" i="2"/>
  <c r="BC7" i="2"/>
  <c r="CH73" i="2"/>
  <c r="BN7" i="2"/>
  <c r="AZ73" i="2"/>
  <c r="CC7" i="2"/>
  <c r="L67" i="1"/>
  <c r="AT7" i="2"/>
  <c r="CJ7" i="2"/>
  <c r="CF7" i="2"/>
  <c r="N73" i="2"/>
  <c r="L101" i="1"/>
  <c r="BU73" i="2"/>
  <c r="L96" i="1"/>
  <c r="AS73" i="2"/>
  <c r="CG7" i="2"/>
  <c r="L97" i="1"/>
  <c r="BB73" i="2"/>
  <c r="BJ7" i="2"/>
  <c r="T73" i="2"/>
  <c r="L99" i="1"/>
  <c r="AA73" i="2"/>
  <c r="AY7" i="2"/>
  <c r="BD7" i="2"/>
  <c r="Z7" i="2"/>
  <c r="CI7" i="2"/>
  <c r="BR73" i="2"/>
  <c r="BH73" i="2"/>
  <c r="CK73" i="2"/>
  <c r="AQ73" i="2"/>
  <c r="Y73" i="2"/>
  <c r="BO73" i="2"/>
  <c r="BL73" i="2"/>
  <c r="CI73" i="2"/>
  <c r="AU73" i="2"/>
  <c r="AG73" i="2"/>
  <c r="BZ73" i="2"/>
  <c r="BS73" i="2"/>
  <c r="BP73" i="2"/>
  <c r="BM73" i="2"/>
  <c r="AC73" i="2"/>
  <c r="S73" i="2"/>
  <c r="AY73" i="2"/>
  <c r="AK73" i="2"/>
  <c r="AT73" i="2"/>
  <c r="I102" i="1"/>
  <c r="CD73" i="2"/>
  <c r="BW73" i="2"/>
  <c r="BT73" i="2"/>
  <c r="BQ73" i="2"/>
  <c r="AW73" i="2"/>
  <c r="W73" i="2"/>
  <c r="P73" i="2"/>
  <c r="AV73" i="2"/>
  <c r="AO73" i="2"/>
  <c r="L73" i="2"/>
  <c r="BV7" i="2"/>
  <c r="BI7" i="2"/>
  <c r="AX7" i="2"/>
  <c r="BA7" i="2"/>
  <c r="BS7" i="2"/>
  <c r="BM7" i="2"/>
  <c r="S7" i="2"/>
  <c r="N7" i="2"/>
  <c r="BW7" i="2"/>
  <c r="BQ7" i="2"/>
  <c r="AV7" i="2"/>
  <c r="AC7" i="2"/>
  <c r="AU7" i="2"/>
  <c r="BB7" i="2"/>
  <c r="CH7" i="2"/>
  <c r="BX7" i="2"/>
  <c r="T7" i="2"/>
  <c r="AI7" i="2"/>
  <c r="AG7" i="2"/>
  <c r="K7" i="2"/>
  <c r="BF7" i="2"/>
  <c r="CL7" i="2"/>
  <c r="CE7" i="2"/>
  <c r="CB7" i="2"/>
  <c r="BY7" i="2"/>
  <c r="X7" i="2"/>
  <c r="R7" i="2"/>
  <c r="AQ7" i="2"/>
  <c r="AK7" i="2"/>
  <c r="AL7" i="2"/>
  <c r="K3" i="2"/>
  <c r="L3" i="2"/>
  <c r="M3" i="2"/>
  <c r="N3" i="2"/>
  <c r="O3" i="2"/>
  <c r="P3" i="2"/>
  <c r="Q3" i="2"/>
  <c r="R3" i="2"/>
  <c r="S3" i="2"/>
  <c r="U3" i="2"/>
  <c r="V3" i="2"/>
  <c r="W3" i="2"/>
  <c r="X3" i="2"/>
  <c r="Y3" i="2"/>
  <c r="Z3" i="2"/>
  <c r="AA3" i="2"/>
  <c r="AB3" i="2"/>
  <c r="AD3" i="2"/>
  <c r="AE3" i="2"/>
  <c r="AF3" i="2"/>
  <c r="AG3" i="2"/>
  <c r="AH3" i="2"/>
  <c r="AI3" i="2"/>
  <c r="AJ3" i="2"/>
  <c r="AK3" i="2"/>
  <c r="AM3" i="2"/>
  <c r="AN3" i="2"/>
  <c r="AO3" i="2"/>
  <c r="AP3" i="2"/>
  <c r="AQ3" i="2"/>
  <c r="AR3" i="2"/>
  <c r="AS3" i="2"/>
  <c r="AT3" i="2"/>
  <c r="AV3" i="2"/>
  <c r="AW3" i="2"/>
  <c r="AX3" i="2"/>
  <c r="AY3" i="2"/>
  <c r="AZ3" i="2"/>
  <c r="BA3" i="2"/>
  <c r="BB3" i="2"/>
  <c r="BC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M3" i="2"/>
  <c r="CL3" i="2"/>
  <c r="CK3" i="2"/>
  <c r="CJ3" i="2"/>
  <c r="CI3" i="2"/>
  <c r="CH3" i="2"/>
  <c r="CG3" i="2"/>
  <c r="CF3" i="2"/>
  <c r="CF2" i="2"/>
  <c r="CG2" i="2"/>
  <c r="CH2" i="2"/>
  <c r="CI2" i="2"/>
  <c r="CJ2" i="2"/>
  <c r="CK2" i="2"/>
  <c r="CL2" i="2"/>
  <c r="CM2" i="2"/>
  <c r="CE2" i="2"/>
  <c r="BW2" i="2"/>
  <c r="BX2" i="2"/>
  <c r="BY2" i="2"/>
  <c r="BZ2" i="2"/>
  <c r="CA2" i="2"/>
  <c r="CB2" i="2"/>
  <c r="CC2" i="2"/>
  <c r="CD2" i="2"/>
  <c r="BV2" i="2"/>
  <c r="BN2" i="2"/>
  <c r="BO2" i="2"/>
  <c r="BP2" i="2"/>
  <c r="BQ2" i="2"/>
  <c r="BR2" i="2"/>
  <c r="BS2" i="2"/>
  <c r="BT2" i="2"/>
  <c r="BU2" i="2"/>
  <c r="BM2" i="2"/>
  <c r="BE2" i="2"/>
  <c r="BF2" i="2"/>
  <c r="BG2" i="2"/>
  <c r="BH2" i="2"/>
  <c r="BI2" i="2"/>
  <c r="BJ2" i="2"/>
  <c r="BK2" i="2"/>
  <c r="BL2" i="2"/>
  <c r="BD2" i="2"/>
  <c r="AV2" i="2"/>
  <c r="AW2" i="2"/>
  <c r="AX2" i="2"/>
  <c r="AY2" i="2"/>
  <c r="AZ2" i="2"/>
  <c r="BA2" i="2"/>
  <c r="BB2" i="2"/>
  <c r="BC2" i="2"/>
  <c r="AU2" i="2"/>
  <c r="AM2" i="2"/>
  <c r="AN2" i="2"/>
  <c r="AO2" i="2"/>
  <c r="AP2" i="2"/>
  <c r="AQ2" i="2"/>
  <c r="AR2" i="2"/>
  <c r="AS2" i="2"/>
  <c r="AT2" i="2"/>
  <c r="AL2" i="2"/>
  <c r="AD2" i="2"/>
  <c r="AE2" i="2"/>
  <c r="AF2" i="2"/>
  <c r="AG2" i="2"/>
  <c r="AH2" i="2"/>
  <c r="AI2" i="2"/>
  <c r="AJ2" i="2"/>
  <c r="AK2" i="2"/>
  <c r="AC2" i="2"/>
  <c r="U2" i="2"/>
  <c r="V2" i="2"/>
  <c r="W2" i="2"/>
  <c r="X2" i="2"/>
  <c r="Y2" i="2"/>
  <c r="Z2" i="2"/>
  <c r="AA2" i="2"/>
  <c r="AB2" i="2"/>
  <c r="T2" i="2"/>
  <c r="T3" i="2"/>
  <c r="AC3" i="2"/>
  <c r="AL3" i="2"/>
  <c r="AU3" i="2"/>
  <c r="BD3" i="2"/>
  <c r="CE3" i="2"/>
  <c r="L2" i="2"/>
  <c r="M2" i="2"/>
  <c r="N2" i="2"/>
  <c r="O2" i="2"/>
  <c r="P2" i="2"/>
  <c r="Q2" i="2"/>
  <c r="R2" i="2"/>
  <c r="S2" i="2"/>
  <c r="K2" i="2"/>
  <c r="D7" i="2"/>
  <c r="D73" i="2"/>
  <c r="J34" i="1"/>
  <c r="D102" i="1"/>
  <c r="L129" i="1"/>
  <c r="A21" i="1"/>
  <c r="CD5" i="2"/>
  <c r="M48" i="1"/>
  <c r="CD6" i="2"/>
  <c r="BO6" i="2"/>
  <c r="H41" i="1"/>
  <c r="J82" i="1"/>
  <c r="K94" i="1"/>
  <c r="H59" i="1"/>
  <c r="K6" i="2"/>
  <c r="H74" i="1"/>
  <c r="L5" i="2"/>
  <c r="BA5" i="2"/>
  <c r="AV6" i="2"/>
  <c r="H128" i="1"/>
  <c r="H86" i="1"/>
  <c r="J128" i="1"/>
  <c r="Z5" i="2"/>
  <c r="BN5" i="2"/>
  <c r="J61" i="1"/>
  <c r="K118" i="1"/>
  <c r="J81" i="1"/>
  <c r="BM5" i="2"/>
  <c r="M79" i="1"/>
  <c r="H124" i="1"/>
  <c r="H88" i="1"/>
  <c r="CA5" i="2"/>
  <c r="BX5" i="2"/>
  <c r="K47" i="1"/>
  <c r="AU6" i="2"/>
  <c r="K71" i="1"/>
  <c r="K48" i="1"/>
  <c r="BB6" i="2"/>
  <c r="BI5" i="2"/>
  <c r="M71" i="1"/>
  <c r="M58" i="1"/>
  <c r="BC6" i="2"/>
  <c r="K78" i="1"/>
  <c r="AF6" i="2"/>
  <c r="CK5" i="2"/>
  <c r="J39" i="1"/>
  <c r="K115" i="1"/>
  <c r="H105" i="1"/>
  <c r="BR5" i="2"/>
  <c r="BW5" i="2"/>
  <c r="BU5" i="2"/>
  <c r="CA6" i="2"/>
  <c r="N6" i="2"/>
  <c r="J66" i="1"/>
  <c r="H52" i="1"/>
  <c r="H68" i="1"/>
  <c r="J80" i="1"/>
  <c r="J85" i="1"/>
  <c r="M62" i="1"/>
  <c r="U6" i="2"/>
  <c r="J127" i="1"/>
  <c r="H40" i="1"/>
  <c r="BS6" i="2"/>
  <c r="T6" i="2"/>
  <c r="M115" i="1"/>
  <c r="CF5" i="2"/>
  <c r="J118" i="1"/>
  <c r="AA6" i="2"/>
  <c r="AZ5" i="2"/>
  <c r="H75" i="1"/>
  <c r="K49" i="1"/>
  <c r="K74" i="1"/>
  <c r="H77" i="1"/>
  <c r="I74" i="1"/>
  <c r="I86" i="1"/>
  <c r="I75" i="1"/>
  <c r="AL12" i="2"/>
  <c r="T12" i="2"/>
  <c r="AR12" i="2"/>
  <c r="AX12" i="2"/>
  <c r="BL12" i="2"/>
  <c r="CG12" i="2"/>
  <c r="BA12" i="2"/>
  <c r="U12" i="2"/>
  <c r="BS12" i="2"/>
  <c r="AM12" i="2"/>
  <c r="I41" i="1"/>
  <c r="M113" i="1"/>
  <c r="K53" i="1"/>
  <c r="V5" i="2"/>
  <c r="M57" i="1"/>
  <c r="AQ6" i="2"/>
  <c r="H101" i="1"/>
  <c r="AN6" i="2"/>
  <c r="CF6" i="2"/>
  <c r="M47" i="1"/>
  <c r="BQ6" i="2"/>
  <c r="M59" i="1"/>
  <c r="H119" i="1"/>
  <c r="BO5" i="2"/>
  <c r="CI5" i="2"/>
  <c r="H46" i="1"/>
  <c r="M50" i="1"/>
  <c r="J71" i="1"/>
  <c r="M123" i="1"/>
  <c r="H123" i="1"/>
  <c r="J72" i="1"/>
  <c r="H110" i="1"/>
  <c r="H116" i="1"/>
  <c r="J84" i="1"/>
  <c r="T5" i="2"/>
  <c r="AZ6" i="2"/>
  <c r="M124" i="1"/>
  <c r="M118" i="1"/>
  <c r="K65" i="1"/>
  <c r="M78" i="1"/>
  <c r="H79" i="1"/>
  <c r="K62" i="1"/>
  <c r="J77" i="1"/>
  <c r="H126" i="1"/>
  <c r="AO5" i="2"/>
  <c r="J93" i="1"/>
  <c r="M82" i="1"/>
  <c r="M97" i="1"/>
  <c r="BK5" i="2"/>
  <c r="H93" i="1"/>
  <c r="J47" i="1"/>
  <c r="H62" i="1"/>
  <c r="J67" i="1"/>
  <c r="M125" i="1"/>
  <c r="M108" i="1"/>
  <c r="H114" i="1"/>
  <c r="M61" i="1"/>
  <c r="J57" i="1"/>
  <c r="S6" i="2"/>
  <c r="K76" i="1"/>
  <c r="H42" i="1"/>
  <c r="M70" i="1"/>
  <c r="AY5" i="2"/>
  <c r="K123" i="1"/>
  <c r="M77" i="1"/>
  <c r="K111" i="1"/>
  <c r="H91" i="1"/>
  <c r="M90" i="1"/>
  <c r="K45" i="1"/>
  <c r="K43" i="1"/>
  <c r="AW6" i="2"/>
  <c r="J98" i="1"/>
  <c r="K79" i="1"/>
  <c r="AI6" i="2"/>
  <c r="BD6" i="2"/>
  <c r="K96" i="1"/>
  <c r="K73" i="1"/>
  <c r="I46" i="1"/>
  <c r="BB12" i="2"/>
  <c r="BZ12" i="2"/>
  <c r="AB12" i="2"/>
  <c r="AP12" i="2"/>
  <c r="BD12" i="2"/>
  <c r="CC12" i="2"/>
  <c r="AW12" i="2"/>
  <c r="Q12" i="2"/>
  <c r="BO12" i="2"/>
  <c r="AI12" i="2"/>
  <c r="K126" i="1"/>
  <c r="H107" i="1"/>
  <c r="M122" i="1"/>
  <c r="H81" i="1"/>
  <c r="CM5" i="2"/>
  <c r="M81" i="1"/>
  <c r="K46" i="1"/>
  <c r="S5" i="2"/>
  <c r="J56" i="1"/>
  <c r="M87" i="1"/>
  <c r="J70" i="1"/>
  <c r="M100" i="1"/>
  <c r="K55" i="1"/>
  <c r="I35" i="1"/>
  <c r="BW6" i="2"/>
  <c r="AW5" i="2"/>
  <c r="AB5" i="2"/>
  <c r="H120" i="1"/>
  <c r="J110" i="1"/>
  <c r="BJ6" i="2"/>
  <c r="AJ5" i="2"/>
  <c r="J75" i="1"/>
  <c r="H118" i="1"/>
  <c r="BX6" i="2"/>
  <c r="M109" i="1"/>
  <c r="K114" i="1"/>
  <c r="H89" i="1"/>
  <c r="N5" i="2"/>
  <c r="J50" i="1"/>
  <c r="K120" i="1"/>
  <c r="M94" i="1"/>
  <c r="K60" i="1"/>
  <c r="J58" i="1"/>
  <c r="J51" i="1"/>
  <c r="M96" i="1"/>
  <c r="M67" i="1"/>
  <c r="M128" i="1"/>
  <c r="K38" i="1"/>
  <c r="H50" i="1"/>
  <c r="BI6" i="2"/>
  <c r="X6" i="2"/>
  <c r="H106" i="1"/>
  <c r="H113" i="1"/>
  <c r="H37" i="1"/>
  <c r="CG6" i="2"/>
  <c r="H71" i="1"/>
  <c r="M98" i="1"/>
  <c r="BK6" i="2"/>
  <c r="J108" i="1"/>
  <c r="M55" i="1"/>
  <c r="K64" i="1"/>
  <c r="AH6" i="2"/>
  <c r="H67" i="1"/>
  <c r="I67" i="1"/>
  <c r="M106" i="1"/>
  <c r="K103" i="1"/>
  <c r="BS5" i="2"/>
  <c r="J87" i="1"/>
  <c r="M51" i="1"/>
  <c r="H60" i="1"/>
  <c r="K84" i="1"/>
  <c r="M63" i="1"/>
  <c r="J88" i="1"/>
  <c r="M84" i="1"/>
  <c r="BZ6" i="2"/>
  <c r="H121" i="1"/>
  <c r="CG5" i="2"/>
  <c r="I50" i="1"/>
  <c r="I71" i="1"/>
  <c r="W52" i="2"/>
  <c r="AG52" i="2"/>
  <c r="AS52" i="2"/>
  <c r="BZ52" i="2"/>
  <c r="AT52" i="2"/>
  <c r="N52" i="2"/>
  <c r="BH52" i="2"/>
  <c r="AB52" i="2"/>
  <c r="V12" i="2"/>
  <c r="AT12" i="2"/>
  <c r="CL12" i="2"/>
  <c r="Z12" i="2"/>
  <c r="AN12" i="2"/>
  <c r="BU12" i="2"/>
  <c r="AO12" i="2"/>
  <c r="CM12" i="2"/>
  <c r="BG12" i="2"/>
  <c r="AA12" i="2"/>
  <c r="AA30" i="2"/>
  <c r="BY30" i="2"/>
  <c r="M30" i="2"/>
  <c r="AG30" i="2"/>
  <c r="BR30" i="2"/>
  <c r="AL30" i="2"/>
  <c r="CF30" i="2"/>
  <c r="AZ30" i="2"/>
  <c r="T30" i="2"/>
  <c r="AT45" i="2"/>
  <c r="AV45" i="2"/>
  <c r="BH45" i="2"/>
  <c r="CG45" i="2"/>
  <c r="BA45" i="2"/>
  <c r="K51" i="1"/>
  <c r="AM6" i="2"/>
  <c r="M76" i="1"/>
  <c r="AY6" i="2"/>
  <c r="M45" i="1"/>
  <c r="J37" i="1"/>
  <c r="J120" i="1"/>
  <c r="M52" i="1"/>
  <c r="H100" i="1"/>
  <c r="K41" i="1"/>
  <c r="AC5" i="2"/>
  <c r="J74" i="1"/>
  <c r="H69" i="1"/>
  <c r="K44" i="1"/>
  <c r="K70" i="1"/>
  <c r="H103" i="1"/>
  <c r="M6" i="2"/>
  <c r="V6" i="2"/>
  <c r="J94" i="1"/>
  <c r="BG5" i="2"/>
  <c r="J114" i="1"/>
  <c r="CM6" i="2"/>
  <c r="BF6" i="2"/>
  <c r="BV5" i="2"/>
  <c r="K61" i="1"/>
  <c r="K39" i="1"/>
  <c r="M53" i="1"/>
  <c r="M75" i="1"/>
  <c r="CK6" i="2"/>
  <c r="H92" i="1"/>
  <c r="H64" i="1"/>
  <c r="I64" i="1"/>
  <c r="AM5" i="2"/>
  <c r="M38" i="1"/>
  <c r="AL5" i="2"/>
  <c r="K92" i="1"/>
  <c r="AE6" i="2"/>
  <c r="AP5" i="2"/>
  <c r="H108" i="1"/>
  <c r="H47" i="1"/>
  <c r="M69" i="1"/>
  <c r="J107" i="1"/>
  <c r="J89" i="1"/>
  <c r="BJ5" i="2"/>
  <c r="BP5" i="2"/>
  <c r="M56" i="1"/>
  <c r="H90" i="1"/>
  <c r="J112" i="1"/>
  <c r="M101" i="1"/>
  <c r="AG6" i="2"/>
  <c r="K88" i="1"/>
  <c r="M126" i="1"/>
  <c r="J121" i="1"/>
  <c r="K77" i="1"/>
  <c r="J102" i="1"/>
  <c r="AK6" i="2"/>
  <c r="H117" i="1"/>
  <c r="AB6" i="2"/>
  <c r="K121" i="1"/>
  <c r="AT5" i="2"/>
  <c r="Y6" i="2"/>
  <c r="J69" i="1"/>
  <c r="CE6" i="2"/>
  <c r="J117" i="1"/>
  <c r="M40" i="1"/>
  <c r="BH5" i="2"/>
  <c r="BF5" i="2"/>
  <c r="I88" i="1"/>
  <c r="I90" i="1"/>
  <c r="I91" i="1"/>
  <c r="CK52" i="2"/>
  <c r="Y52" i="2"/>
  <c r="AK52" i="2"/>
  <c r="BV52" i="2"/>
  <c r="AP52" i="2"/>
  <c r="CJ52" i="2"/>
  <c r="BD52" i="2"/>
  <c r="X52" i="2"/>
  <c r="BP12" i="2"/>
  <c r="AD12" i="2"/>
  <c r="CD12" i="2"/>
  <c r="R12" i="2"/>
  <c r="AF12" i="2"/>
  <c r="BQ12" i="2"/>
  <c r="AK12" i="2"/>
  <c r="CI12" i="2"/>
  <c r="BC12" i="2"/>
  <c r="W12" i="2"/>
  <c r="CI30" i="2"/>
  <c r="K30" i="2"/>
  <c r="BQ30" i="2"/>
  <c r="CK30" i="2"/>
  <c r="Y30" i="2"/>
  <c r="BN30" i="2"/>
  <c r="AH30" i="2"/>
  <c r="CB30" i="2"/>
  <c r="AV30" i="2"/>
  <c r="P30" i="2"/>
  <c r="AD45" i="2"/>
  <c r="AN45" i="2"/>
  <c r="AZ45" i="2"/>
  <c r="CC45" i="2"/>
  <c r="AW45" i="2"/>
  <c r="Q45" i="2"/>
  <c r="CC6" i="2"/>
  <c r="K67" i="1"/>
  <c r="J109" i="1"/>
  <c r="H80" i="1"/>
  <c r="M66" i="1"/>
  <c r="CC5" i="2"/>
  <c r="H65" i="1"/>
  <c r="M42" i="1"/>
  <c r="J44" i="1"/>
  <c r="X5" i="2"/>
  <c r="BY5" i="2"/>
  <c r="M121" i="1"/>
  <c r="Z6" i="2"/>
  <c r="AP6" i="2"/>
  <c r="CL6" i="2"/>
  <c r="M114" i="1"/>
  <c r="P5" i="2"/>
  <c r="J106" i="1"/>
  <c r="AF5" i="2"/>
  <c r="M41" i="1"/>
  <c r="M36" i="1"/>
  <c r="J68" i="1"/>
  <c r="H97" i="1"/>
  <c r="I97" i="1"/>
  <c r="BN6" i="2"/>
  <c r="K68" i="1"/>
  <c r="K100" i="1"/>
  <c r="H78" i="1"/>
  <c r="I78" i="1"/>
  <c r="H84" i="1"/>
  <c r="I84" i="1"/>
  <c r="K101" i="1"/>
  <c r="H43" i="1"/>
  <c r="J42" i="1"/>
  <c r="J79" i="1"/>
  <c r="AD6" i="2"/>
  <c r="I79" i="1"/>
  <c r="I68" i="1"/>
  <c r="I107" i="1"/>
  <c r="CG52" i="2"/>
  <c r="BN52" i="2"/>
  <c r="CB52" i="2"/>
  <c r="P52" i="2"/>
  <c r="BX12" i="2"/>
  <c r="CB12" i="2"/>
  <c r="BI12" i="2"/>
  <c r="CA12" i="2"/>
  <c r="O12" i="2"/>
  <c r="X51" i="2"/>
  <c r="CH51" i="2"/>
  <c r="CE51" i="2"/>
  <c r="AQ51" i="2"/>
  <c r="CG51" i="2"/>
  <c r="AK51" i="2"/>
  <c r="CM30" i="2"/>
  <c r="S30" i="2"/>
  <c r="CC30" i="2"/>
  <c r="CH30" i="2"/>
  <c r="AT30" i="2"/>
  <c r="BX30" i="2"/>
  <c r="AJ30" i="2"/>
  <c r="BZ45" i="2"/>
  <c r="AF45" i="2"/>
  <c r="AB45" i="2"/>
  <c r="BI45" i="2"/>
  <c r="U45" i="2"/>
  <c r="BO45" i="2"/>
  <c r="AI45" i="2"/>
  <c r="BO40" i="2"/>
  <c r="BA40" i="2"/>
  <c r="BU40" i="2"/>
  <c r="CL40" i="2"/>
  <c r="BF40" i="2"/>
  <c r="Z40" i="2"/>
  <c r="BT40" i="2"/>
  <c r="AN40" i="2"/>
  <c r="CI36" i="2"/>
  <c r="BM36" i="2"/>
  <c r="BQ36" i="2"/>
  <c r="CH36" i="2"/>
  <c r="BB36" i="2"/>
  <c r="AX5" i="2"/>
  <c r="J62" i="1"/>
  <c r="K87" i="1"/>
  <c r="K110" i="1"/>
  <c r="J53" i="1"/>
  <c r="H61" i="1"/>
  <c r="CB5" i="2"/>
  <c r="M95" i="1"/>
  <c r="AR6" i="2"/>
  <c r="M92" i="1"/>
  <c r="H45" i="1"/>
  <c r="K54" i="1"/>
  <c r="O5" i="2"/>
  <c r="M105" i="1"/>
  <c r="M102" i="1"/>
  <c r="K81" i="1"/>
  <c r="K42" i="1"/>
  <c r="J60" i="1"/>
  <c r="J54" i="1"/>
  <c r="J115" i="1"/>
  <c r="M88" i="1"/>
  <c r="CB6" i="2"/>
  <c r="H73" i="1"/>
  <c r="W5" i="2"/>
  <c r="K119" i="1"/>
  <c r="AO6" i="2"/>
  <c r="K37" i="1"/>
  <c r="K97" i="1"/>
  <c r="H56" i="1"/>
  <c r="H44" i="1"/>
  <c r="M72" i="1"/>
  <c r="K109" i="1"/>
  <c r="H112" i="1"/>
  <c r="I100" i="1"/>
  <c r="I92" i="1"/>
  <c r="CI52" i="2"/>
  <c r="BY52" i="2"/>
  <c r="BJ52" i="2"/>
  <c r="BX52" i="2"/>
  <c r="L52" i="2"/>
  <c r="BH12" i="2"/>
  <c r="BT12" i="2"/>
  <c r="BE12" i="2"/>
  <c r="BW12" i="2"/>
  <c r="K12" i="2"/>
  <c r="CL51" i="2"/>
  <c r="BZ51" i="2"/>
  <c r="CA51" i="2"/>
  <c r="AM51" i="2"/>
  <c r="CC51" i="2"/>
  <c r="AG51" i="2"/>
  <c r="BW30" i="2"/>
  <c r="CG30" i="2"/>
  <c r="BU30" i="2"/>
  <c r="CD30" i="2"/>
  <c r="AP30" i="2"/>
  <c r="BT30" i="2"/>
  <c r="AF30" i="2"/>
  <c r="BJ45" i="2"/>
  <c r="X45" i="2"/>
  <c r="T45" i="2"/>
  <c r="BE45" i="2"/>
  <c r="M45" i="2"/>
  <c r="BK45" i="2"/>
  <c r="AE45" i="2"/>
  <c r="BU32" i="2"/>
  <c r="Q32" i="2"/>
  <c r="AI32" i="2"/>
  <c r="BC32" i="2"/>
  <c r="CB32" i="2"/>
  <c r="AV32" i="2"/>
  <c r="P32" i="2"/>
  <c r="BN32" i="2"/>
  <c r="AH32" i="2"/>
  <c r="AY40" i="2"/>
  <c r="AS40" i="2"/>
  <c r="BM40" i="2"/>
  <c r="CH40" i="2"/>
  <c r="BB40" i="2"/>
  <c r="V40" i="2"/>
  <c r="BP40" i="2"/>
  <c r="AJ40" i="2"/>
  <c r="BS36" i="2"/>
  <c r="BE36" i="2"/>
  <c r="BI36" i="2"/>
  <c r="CD36" i="2"/>
  <c r="AX36" i="2"/>
  <c r="CJ36" i="2"/>
  <c r="BD36" i="2"/>
  <c r="I34" i="1"/>
  <c r="M74" i="1"/>
  <c r="CJ5" i="2"/>
  <c r="H58" i="1"/>
  <c r="K128" i="1"/>
  <c r="K36" i="1"/>
  <c r="H49" i="1"/>
  <c r="J104" i="1"/>
  <c r="M68" i="1"/>
  <c r="BB5" i="2"/>
  <c r="M46" i="1"/>
  <c r="M39" i="1"/>
  <c r="M104" i="1"/>
  <c r="J96" i="1"/>
  <c r="K98" i="1"/>
  <c r="H66" i="1"/>
  <c r="I66" i="1"/>
  <c r="J91" i="1"/>
  <c r="J124" i="1"/>
  <c r="J43" i="1"/>
  <c r="AR5" i="2"/>
  <c r="J113" i="1"/>
  <c r="BV6" i="2"/>
  <c r="H57" i="1"/>
  <c r="BG6" i="2"/>
  <c r="J65" i="1"/>
  <c r="H38" i="1"/>
  <c r="H98" i="1"/>
  <c r="I98" i="1"/>
  <c r="AG5" i="2"/>
  <c r="Q6" i="2"/>
  <c r="J64" i="1"/>
  <c r="M65" i="1"/>
  <c r="K91" i="1"/>
  <c r="K63" i="1"/>
  <c r="M110" i="1"/>
  <c r="I69" i="1"/>
  <c r="I62" i="1"/>
  <c r="CC52" i="2"/>
  <c r="AC52" i="2"/>
  <c r="AL52" i="2"/>
  <c r="AZ52" i="2"/>
  <c r="AJ12" i="2"/>
  <c r="BV12" i="2"/>
  <c r="X12" i="2"/>
  <c r="AG12" i="2"/>
  <c r="AY12" i="2"/>
  <c r="AR29" i="2"/>
  <c r="V29" i="2"/>
  <c r="BW29" i="2"/>
  <c r="K29" i="2"/>
  <c r="AC29" i="2"/>
  <c r="BN51" i="2"/>
  <c r="AT51" i="2"/>
  <c r="BS51" i="2"/>
  <c r="AE51" i="2"/>
  <c r="BM51" i="2"/>
  <c r="Y51" i="2"/>
  <c r="AQ30" i="2"/>
  <c r="BA30" i="2"/>
  <c r="BE30" i="2"/>
  <c r="BV30" i="2"/>
  <c r="Z30" i="2"/>
  <c r="BL30" i="2"/>
  <c r="X30" i="2"/>
  <c r="CJ45" i="2"/>
  <c r="CF45" i="2"/>
  <c r="CK45" i="2"/>
  <c r="AO45" i="2"/>
  <c r="CI45" i="2"/>
  <c r="BC45" i="2"/>
  <c r="W45" i="2"/>
  <c r="AO32" i="2"/>
  <c r="CE32" i="2"/>
  <c r="S32" i="2"/>
  <c r="AM32" i="2"/>
  <c r="BT32" i="2"/>
  <c r="AN32" i="2"/>
  <c r="CL32" i="2"/>
  <c r="BF32" i="2"/>
  <c r="Z32" i="2"/>
  <c r="BW20" i="2"/>
  <c r="AU20" i="2"/>
  <c r="CL20" i="2"/>
  <c r="Z20" i="2"/>
  <c r="AL20" i="2"/>
  <c r="BU20" i="2"/>
  <c r="AO20" i="2"/>
  <c r="CJ20" i="2"/>
  <c r="BD20" i="2"/>
  <c r="X20" i="2"/>
  <c r="S40" i="2"/>
  <c r="AC40" i="2"/>
  <c r="AW40" i="2"/>
  <c r="BZ40" i="2"/>
  <c r="AT40" i="2"/>
  <c r="N40" i="2"/>
  <c r="BH40" i="2"/>
  <c r="AB40" i="2"/>
  <c r="AM36" i="2"/>
  <c r="AO36" i="2"/>
  <c r="AS36" i="2"/>
  <c r="BV36" i="2"/>
  <c r="AP36" i="2"/>
  <c r="CB36" i="2"/>
  <c r="AV36" i="2"/>
  <c r="AJ36" i="2"/>
  <c r="N36" i="2"/>
  <c r="BV57" i="2"/>
  <c r="CM57" i="2"/>
  <c r="BG57" i="2"/>
  <c r="AA57" i="2"/>
  <c r="BY57" i="2"/>
  <c r="AS57" i="2"/>
  <c r="M57" i="2"/>
  <c r="AT17" i="2"/>
  <c r="AP17" i="2"/>
  <c r="AI17" i="2"/>
  <c r="AW17" i="2"/>
  <c r="BT17" i="2"/>
  <c r="AM17" i="2"/>
  <c r="CE17" i="2"/>
  <c r="AY17" i="2"/>
  <c r="AO17" i="2"/>
  <c r="L17" i="2"/>
  <c r="AX6" i="2"/>
  <c r="K108" i="1"/>
  <c r="M49" i="1"/>
  <c r="CJ6" i="2"/>
  <c r="J63" i="1"/>
  <c r="J92" i="1"/>
  <c r="BT5" i="2"/>
  <c r="H48" i="1"/>
  <c r="AT6" i="2"/>
  <c r="M80" i="1"/>
  <c r="K107" i="1"/>
  <c r="J48" i="1"/>
  <c r="K82" i="1"/>
  <c r="H53" i="1"/>
  <c r="M112" i="1"/>
  <c r="M91" i="1"/>
  <c r="BR6" i="2"/>
  <c r="J83" i="1"/>
  <c r="M85" i="1"/>
  <c r="H109" i="1"/>
  <c r="H125" i="1"/>
  <c r="BE5" i="2"/>
  <c r="K106" i="1"/>
  <c r="J90" i="1"/>
  <c r="BL6" i="2"/>
  <c r="K125" i="1"/>
  <c r="J119" i="1"/>
  <c r="M86" i="1"/>
  <c r="M73" i="1"/>
  <c r="H96" i="1"/>
  <c r="I96" i="1"/>
  <c r="K59" i="1"/>
  <c r="AI5" i="2"/>
  <c r="H99" i="1"/>
  <c r="I99" i="1"/>
  <c r="M54" i="1"/>
  <c r="I65" i="1"/>
  <c r="I60" i="1"/>
  <c r="BU52" i="2"/>
  <c r="U52" i="2"/>
  <c r="AH52" i="2"/>
  <c r="AV52" i="2"/>
  <c r="CF12" i="2"/>
  <c r="BN12" i="2"/>
  <c r="P12" i="2"/>
  <c r="AC12" i="2"/>
  <c r="AU12" i="2"/>
  <c r="AB29" i="2"/>
  <c r="N29" i="2"/>
  <c r="BS29" i="2"/>
  <c r="CK29" i="2"/>
  <c r="Y29" i="2"/>
  <c r="AP51" i="2"/>
  <c r="AL51" i="2"/>
  <c r="BO51" i="2"/>
  <c r="S51" i="2"/>
  <c r="BI51" i="2"/>
  <c r="U51" i="2"/>
  <c r="CE30" i="2"/>
  <c r="AS30" i="2"/>
  <c r="AW30" i="2"/>
  <c r="BJ30" i="2"/>
  <c r="V30" i="2"/>
  <c r="BH30" i="2"/>
  <c r="L30" i="2"/>
  <c r="CB45" i="2"/>
  <c r="BX45" i="2"/>
  <c r="BY45" i="2"/>
  <c r="AK45" i="2"/>
  <c r="CE45" i="2"/>
  <c r="AY45" i="2"/>
  <c r="S45" i="2"/>
  <c r="Y32" i="2"/>
  <c r="BW32" i="2"/>
  <c r="K32" i="2"/>
  <c r="AE32" i="2"/>
  <c r="BP32" i="2"/>
  <c r="AJ32" i="2"/>
  <c r="CH32" i="2"/>
  <c r="BB32" i="2"/>
  <c r="V32" i="2"/>
  <c r="AQ20" i="2"/>
  <c r="AE20" i="2"/>
  <c r="CD20" i="2"/>
  <c r="R20" i="2"/>
  <c r="AD20" i="2"/>
  <c r="BQ20" i="2"/>
  <c r="AK20" i="2"/>
  <c r="CF20" i="2"/>
  <c r="AZ20" i="2"/>
  <c r="T20" i="2"/>
  <c r="CG40" i="2"/>
  <c r="U40" i="2"/>
  <c r="AO40" i="2"/>
  <c r="BV40" i="2"/>
  <c r="AP40" i="2"/>
  <c r="CJ40" i="2"/>
  <c r="BD40" i="2"/>
  <c r="X40" i="2"/>
  <c r="Q36" i="2"/>
  <c r="AE36" i="2"/>
  <c r="AK36" i="2"/>
  <c r="BR36" i="2"/>
  <c r="AL36" i="2"/>
  <c r="BX36" i="2"/>
  <c r="AR36" i="2"/>
  <c r="AF36" i="2"/>
  <c r="I128" i="1"/>
  <c r="BH19" i="2"/>
  <c r="AF19" i="2"/>
  <c r="CE19" i="2"/>
  <c r="S19" i="2"/>
  <c r="AM19" i="2"/>
  <c r="BV19" i="2"/>
  <c r="AP19" i="2"/>
  <c r="CK19" i="2"/>
  <c r="BE19" i="2"/>
  <c r="Y19" i="2"/>
  <c r="BN57" i="2"/>
  <c r="CI57" i="2"/>
  <c r="BC57" i="2"/>
  <c r="W57" i="2"/>
  <c r="BU57" i="2"/>
  <c r="AO57" i="2"/>
  <c r="BR17" i="2"/>
  <c r="CD17" i="2"/>
  <c r="T17" i="2"/>
  <c r="X17" i="2"/>
  <c r="AN17" i="2"/>
  <c r="BP17" i="2"/>
  <c r="AH17" i="2"/>
  <c r="CA17" i="2"/>
  <c r="AU17" i="2"/>
  <c r="AK17" i="2"/>
  <c r="I103" i="1"/>
  <c r="J46" i="1"/>
  <c r="J111" i="1"/>
  <c r="J36" i="1"/>
  <c r="K113" i="1"/>
  <c r="W6" i="2"/>
  <c r="H55" i="1"/>
  <c r="CL5" i="2"/>
  <c r="J40" i="1"/>
  <c r="M117" i="1"/>
  <c r="H82" i="1"/>
  <c r="J100" i="1"/>
  <c r="CE5" i="2"/>
  <c r="H115" i="1"/>
  <c r="K95" i="1"/>
  <c r="M64" i="1"/>
  <c r="BY6" i="2"/>
  <c r="J78" i="1"/>
  <c r="AQ5" i="2"/>
  <c r="J52" i="1"/>
  <c r="H70" i="1"/>
  <c r="I70" i="1"/>
  <c r="H94" i="1"/>
  <c r="I94" i="1"/>
  <c r="H104" i="1"/>
  <c r="K56" i="1"/>
  <c r="K83" i="1"/>
  <c r="M89" i="1"/>
  <c r="R6" i="2"/>
  <c r="K122" i="1"/>
  <c r="K72" i="1"/>
  <c r="M107" i="1"/>
  <c r="H63" i="1"/>
  <c r="Q5" i="2"/>
  <c r="AS5" i="2"/>
  <c r="H51" i="1"/>
  <c r="I51" i="1"/>
  <c r="I59" i="1"/>
  <c r="I89" i="1"/>
  <c r="I52" i="1"/>
  <c r="I77" i="1"/>
  <c r="Q52" i="2"/>
  <c r="BR52" i="2"/>
  <c r="CF52" i="2"/>
  <c r="T52" i="2"/>
  <c r="N12" i="2"/>
  <c r="CJ12" i="2"/>
  <c r="BM12" i="2"/>
  <c r="CE12" i="2"/>
  <c r="S12" i="2"/>
  <c r="CH29" i="2"/>
  <c r="AP29" i="2"/>
  <c r="AQ29" i="2"/>
  <c r="BI29" i="2"/>
  <c r="AN51" i="2"/>
  <c r="R51" i="2"/>
  <c r="N51" i="2"/>
  <c r="AU51" i="2"/>
  <c r="CK51" i="2"/>
  <c r="AW51" i="2"/>
  <c r="W30" i="2"/>
  <c r="AI30" i="2"/>
  <c r="U30" i="2"/>
  <c r="CL30" i="2"/>
  <c r="AX30" i="2"/>
  <c r="CJ30" i="2"/>
  <c r="AN30" i="2"/>
  <c r="BD45" i="2"/>
  <c r="AJ45" i="2"/>
  <c r="BM45" i="2"/>
  <c r="Y45" i="2"/>
  <c r="BS45" i="2"/>
  <c r="AM45" i="2"/>
  <c r="CF26" i="2"/>
  <c r="CH26" i="2"/>
  <c r="BE26" i="2"/>
  <c r="AW26" i="2"/>
  <c r="AB26" i="2"/>
  <c r="BS26" i="2"/>
  <c r="AA5" i="2"/>
  <c r="H54" i="1"/>
  <c r="J99" i="1"/>
  <c r="H39" i="1"/>
  <c r="BP6" i="2"/>
  <c r="BU6" i="2"/>
  <c r="K57" i="1"/>
  <c r="BH6" i="2"/>
  <c r="J76" i="1"/>
  <c r="J97" i="1"/>
  <c r="AJ6" i="2"/>
  <c r="L6" i="2"/>
  <c r="I82" i="1"/>
  <c r="BM52" i="2"/>
  <c r="BL52" i="2"/>
  <c r="AH12" i="2"/>
  <c r="AQ12" i="2"/>
  <c r="CI29" i="2"/>
  <c r="CJ51" i="2"/>
  <c r="BK51" i="2"/>
  <c r="AC51" i="2"/>
  <c r="AC30" i="2"/>
  <c r="R30" i="2"/>
  <c r="BU45" i="2"/>
  <c r="BG45" i="2"/>
  <c r="BR25" i="2"/>
  <c r="CC25" i="2"/>
  <c r="AN25" i="2"/>
  <c r="AQ25" i="2"/>
  <c r="BY26" i="2"/>
  <c r="CM26" i="2"/>
  <c r="AQ26" i="2"/>
  <c r="AP26" i="2"/>
  <c r="CC32" i="2"/>
  <c r="CI32" i="2"/>
  <c r="BL32" i="2"/>
  <c r="CD32" i="2"/>
  <c r="R32" i="2"/>
  <c r="O20" i="2"/>
  <c r="CH20" i="2"/>
  <c r="BM20" i="2"/>
  <c r="CB20" i="2"/>
  <c r="P20" i="2"/>
  <c r="M40" i="2"/>
  <c r="BR40" i="2"/>
  <c r="CF40" i="2"/>
  <c r="T40" i="2"/>
  <c r="U36" i="2"/>
  <c r="BN36" i="2"/>
  <c r="CF36" i="2"/>
  <c r="AD36" i="2"/>
  <c r="L36" i="2"/>
  <c r="CB19" i="2"/>
  <c r="BW19" i="2"/>
  <c r="CA19" i="2"/>
  <c r="CH19" i="2"/>
  <c r="AL19" i="2"/>
  <c r="BY19" i="2"/>
  <c r="AK19" i="2"/>
  <c r="BF57" i="2"/>
  <c r="BW57" i="2"/>
  <c r="AI57" i="2"/>
  <c r="BQ57" i="2"/>
  <c r="AC57" i="2"/>
  <c r="Z17" i="2"/>
  <c r="CG17" i="2"/>
  <c r="CC17" i="2"/>
  <c r="CB17" i="2"/>
  <c r="AB17" i="2"/>
  <c r="BO17" i="2"/>
  <c r="V17" i="2"/>
  <c r="CB53" i="2"/>
  <c r="CD53" i="2"/>
  <c r="BQ53" i="2"/>
  <c r="AK53" i="2"/>
  <c r="CI53" i="2"/>
  <c r="BC53" i="2"/>
  <c r="W53" i="2"/>
  <c r="X10" i="2"/>
  <c r="BL10" i="2"/>
  <c r="N10" i="2"/>
  <c r="AB10" i="2"/>
  <c r="AX10" i="2"/>
  <c r="CA10" i="2"/>
  <c r="AU10" i="2"/>
  <c r="O10" i="2"/>
  <c r="BM10" i="2"/>
  <c r="AG10" i="2"/>
  <c r="AV16" i="2"/>
  <c r="CA16" i="2"/>
  <c r="AM16" i="2"/>
  <c r="AJ16" i="2"/>
  <c r="BG16" i="2"/>
  <c r="CH16" i="2"/>
  <c r="BB16" i="2"/>
  <c r="V16" i="2"/>
  <c r="BQ16" i="2"/>
  <c r="AK16" i="2"/>
  <c r="I118" i="1"/>
  <c r="AV59" i="2"/>
  <c r="BY59" i="2"/>
  <c r="AS59" i="2"/>
  <c r="M59" i="2"/>
  <c r="BK59" i="2"/>
  <c r="AE59" i="2"/>
  <c r="AE24" i="2"/>
  <c r="BW24" i="2"/>
  <c r="AI24" i="2"/>
  <c r="AL24" i="2"/>
  <c r="BF24" i="2"/>
  <c r="CC24" i="2"/>
  <c r="AW24" i="2"/>
  <c r="Q24" i="2"/>
  <c r="BL24" i="2"/>
  <c r="AF24" i="2"/>
  <c r="CA60" i="2"/>
  <c r="O60" i="2"/>
  <c r="BH60" i="2"/>
  <c r="AB60" i="2"/>
  <c r="R5" i="2"/>
  <c r="CI6" i="2"/>
  <c r="J103" i="1"/>
  <c r="J73" i="1"/>
  <c r="AK5" i="2"/>
  <c r="K75" i="1"/>
  <c r="J116" i="1"/>
  <c r="M111" i="1"/>
  <c r="K66" i="1"/>
  <c r="K116" i="1"/>
  <c r="J49" i="1"/>
  <c r="K104" i="1"/>
  <c r="H76" i="1"/>
  <c r="I93" i="1"/>
  <c r="AO52" i="2"/>
  <c r="AR52" i="2"/>
  <c r="AV12" i="2"/>
  <c r="AE12" i="2"/>
  <c r="BO29" i="2"/>
  <c r="CD51" i="2"/>
  <c r="AY51" i="2"/>
  <c r="Q51" i="2"/>
  <c r="BM30" i="2"/>
  <c r="N30" i="2"/>
  <c r="N45" i="2"/>
  <c r="BQ45" i="2"/>
  <c r="AU45" i="2"/>
  <c r="BF25" i="2"/>
  <c r="BU25" i="2"/>
  <c r="AB25" i="2"/>
  <c r="AA25" i="2"/>
  <c r="BT26" i="2"/>
  <c r="CA26" i="2"/>
  <c r="AM26" i="2"/>
  <c r="AL26" i="2"/>
  <c r="BM32" i="2"/>
  <c r="CA32" i="2"/>
  <c r="BH32" i="2"/>
  <c r="BZ32" i="2"/>
  <c r="N32" i="2"/>
  <c r="CI20" i="2"/>
  <c r="BZ20" i="2"/>
  <c r="BI20" i="2"/>
  <c r="BX20" i="2"/>
  <c r="L20" i="2"/>
  <c r="CK40" i="2"/>
  <c r="BN40" i="2"/>
  <c r="CB40" i="2"/>
  <c r="P40" i="2"/>
  <c r="CG36" i="2"/>
  <c r="BJ36" i="2"/>
  <c r="BT36" i="2"/>
  <c r="Y36" i="2"/>
  <c r="R36" i="2"/>
  <c r="AJ19" i="2"/>
  <c r="BL19" i="2"/>
  <c r="BO19" i="2"/>
  <c r="BS19" i="2"/>
  <c r="CD19" i="2"/>
  <c r="AH19" i="2"/>
  <c r="BU19" i="2"/>
  <c r="AG19" i="2"/>
  <c r="AX57" i="2"/>
  <c r="BS57" i="2"/>
  <c r="AE57" i="2"/>
  <c r="BM57" i="2"/>
  <c r="Y57" i="2"/>
  <c r="BZ17" i="2"/>
  <c r="BY17" i="2"/>
  <c r="BU17" i="2"/>
  <c r="BX17" i="2"/>
  <c r="W17" i="2"/>
  <c r="BK17" i="2"/>
  <c r="P17" i="2"/>
  <c r="I120" i="1"/>
  <c r="BT53" i="2"/>
  <c r="BX53" i="2"/>
  <c r="BM53" i="2"/>
  <c r="AG53" i="2"/>
  <c r="CE53" i="2"/>
  <c r="AY53" i="2"/>
  <c r="S53" i="2"/>
  <c r="BD10" i="2"/>
  <c r="AV10" i="2"/>
  <c r="CF10" i="2"/>
  <c r="T10" i="2"/>
  <c r="J45" i="1"/>
  <c r="M119" i="1"/>
  <c r="J86" i="1"/>
  <c r="K50" i="1"/>
  <c r="AN5" i="2"/>
  <c r="J126" i="1"/>
  <c r="AH5" i="2"/>
  <c r="M120" i="1"/>
  <c r="H83" i="1"/>
  <c r="I83" i="1"/>
  <c r="BA6" i="2"/>
  <c r="H72" i="1"/>
  <c r="AE5" i="2"/>
  <c r="H87" i="1"/>
  <c r="I87" i="1"/>
  <c r="I73" i="1"/>
  <c r="M52" i="2"/>
  <c r="CH12" i="2"/>
  <c r="BY12" i="2"/>
  <c r="L29" i="2"/>
  <c r="W29" i="2"/>
  <c r="Z51" i="2"/>
  <c r="O51" i="2"/>
  <c r="BG30" i="2"/>
  <c r="Q30" i="2"/>
  <c r="BD30" i="2"/>
  <c r="BL45" i="2"/>
  <c r="AG45" i="2"/>
  <c r="AA45" i="2"/>
  <c r="BN25" i="2"/>
  <c r="Q25" i="2"/>
  <c r="CM25" i="2"/>
  <c r="K25" i="2"/>
  <c r="BV26" i="2"/>
  <c r="AV26" i="2"/>
  <c r="W26" i="2"/>
  <c r="V26" i="2"/>
  <c r="CM32" i="2"/>
  <c r="AU32" i="2"/>
  <c r="AR32" i="2"/>
  <c r="BJ32" i="2"/>
  <c r="BO20" i="2"/>
  <c r="W20" i="2"/>
  <c r="AT20" i="2"/>
  <c r="AS20" i="2"/>
  <c r="BH20" i="2"/>
  <c r="AI40" i="2"/>
  <c r="BE40" i="2"/>
  <c r="AX40" i="2"/>
  <c r="BL40" i="2"/>
  <c r="BC36" i="2"/>
  <c r="BA36" i="2"/>
  <c r="AT36" i="2"/>
  <c r="BL36" i="2"/>
  <c r="K36" i="2"/>
  <c r="CF19" i="2"/>
  <c r="CJ19" i="2"/>
  <c r="AY19" i="2"/>
  <c r="BC19" i="2"/>
  <c r="BN19" i="2"/>
  <c r="Z19" i="2"/>
  <c r="BM19" i="2"/>
  <c r="Q19" i="2"/>
  <c r="AH57" i="2"/>
  <c r="BK57" i="2"/>
  <c r="O57" i="2"/>
  <c r="BE57" i="2"/>
  <c r="Q57" i="2"/>
  <c r="AX17" i="2"/>
  <c r="BI17" i="2"/>
  <c r="BE17" i="2"/>
  <c r="BH17" i="2"/>
  <c r="K17" i="2"/>
  <c r="BC17" i="2"/>
  <c r="AC17" i="2"/>
  <c r="CF53" i="2"/>
  <c r="BD53" i="2"/>
  <c r="AR53" i="2"/>
  <c r="BE53" i="2"/>
  <c r="Y53" i="2"/>
  <c r="BW53" i="2"/>
  <c r="AQ53" i="2"/>
  <c r="K53" i="2"/>
  <c r="AL10" i="2"/>
  <c r="P10" i="2"/>
  <c r="BP10" i="2"/>
  <c r="CL10" i="2"/>
  <c r="Z10" i="2"/>
  <c r="BO10" i="2"/>
  <c r="AI10" i="2"/>
  <c r="CG10" i="2"/>
  <c r="BA10" i="2"/>
  <c r="U10" i="2"/>
  <c r="CJ16" i="2"/>
  <c r="AE16" i="2"/>
  <c r="BX16" i="2"/>
  <c r="L16" i="2"/>
  <c r="AI16" i="2"/>
  <c r="BV16" i="2"/>
  <c r="AP16" i="2"/>
  <c r="CK16" i="2"/>
  <c r="BE16" i="2"/>
  <c r="Y16" i="2"/>
  <c r="CJ59" i="2"/>
  <c r="X59" i="2"/>
  <c r="BM59" i="2"/>
  <c r="AG59" i="2"/>
  <c r="CE59" i="2"/>
  <c r="AY59" i="2"/>
  <c r="S59" i="2"/>
  <c r="AM24" i="2"/>
  <c r="AA24" i="2"/>
  <c r="BZ24" i="2"/>
  <c r="N24" i="2"/>
  <c r="AH24" i="2"/>
  <c r="BQ24" i="2"/>
  <c r="AK24" i="2"/>
  <c r="CF24" i="2"/>
  <c r="AZ24" i="2"/>
  <c r="T24" i="2"/>
  <c r="BC60" i="2"/>
  <c r="CB60" i="2"/>
  <c r="AV60" i="2"/>
  <c r="P60" i="2"/>
  <c r="CH5" i="2"/>
  <c r="H95" i="1"/>
  <c r="H85" i="1"/>
  <c r="AD5" i="2"/>
  <c r="H122" i="1"/>
  <c r="J122" i="1"/>
  <c r="AL6" i="2"/>
  <c r="J95" i="1"/>
  <c r="K40" i="1"/>
  <c r="AC6" i="2"/>
  <c r="K52" i="1"/>
  <c r="BZ5" i="2"/>
  <c r="I101" i="1"/>
  <c r="I63" i="1"/>
  <c r="AX52" i="2"/>
  <c r="BJ12" i="2"/>
  <c r="Y12" i="2"/>
  <c r="AT29" i="2"/>
  <c r="BU29" i="2"/>
  <c r="AD51" i="2"/>
  <c r="BQ51" i="2"/>
  <c r="AY30" i="2"/>
  <c r="BF30" i="2"/>
  <c r="AB30" i="2"/>
  <c r="BD66" i="2"/>
  <c r="BP45" i="2"/>
  <c r="CM45" i="2"/>
  <c r="K45" i="2"/>
  <c r="BI25" i="2"/>
  <c r="BT25" i="2"/>
  <c r="BW25" i="2"/>
  <c r="BQ26" i="2"/>
  <c r="BP26" i="2"/>
  <c r="P26" i="2"/>
  <c r="BR26" i="2"/>
  <c r="BA32" i="2"/>
  <c r="BG32" i="2"/>
  <c r="O32" i="2"/>
  <c r="AB32" i="2"/>
  <c r="AT32" i="2"/>
  <c r="CM20" i="2"/>
  <c r="BN20" i="2"/>
  <c r="N20" i="2"/>
  <c r="AC20" i="2"/>
  <c r="AR20" i="2"/>
  <c r="BQ40" i="2"/>
  <c r="Y40" i="2"/>
  <c r="AH40" i="2"/>
  <c r="AV40" i="2"/>
  <c r="CC36" i="2"/>
  <c r="M36" i="2"/>
  <c r="AA36" i="2"/>
  <c r="AZ36" i="2"/>
  <c r="X36" i="2"/>
  <c r="BO56" i="2"/>
  <c r="CB56" i="2"/>
  <c r="AF56" i="2"/>
  <c r="BV56" i="2"/>
  <c r="AH56" i="2"/>
  <c r="BX19" i="2"/>
  <c r="BD19" i="2"/>
  <c r="AI19" i="2"/>
  <c r="W19" i="2"/>
  <c r="BF19" i="2"/>
  <c r="R19" i="2"/>
  <c r="AW19" i="2"/>
  <c r="I48" i="1"/>
  <c r="R57" i="2"/>
  <c r="AU57" i="2"/>
  <c r="CK57" i="2"/>
  <c r="AW57" i="2"/>
  <c r="O17" i="2"/>
  <c r="CL17" i="2"/>
  <c r="AS17" i="2"/>
  <c r="S17" i="2"/>
  <c r="AZ17" i="2"/>
  <c r="CI17" i="2"/>
  <c r="AL17" i="2"/>
  <c r="U17" i="2"/>
  <c r="BB53" i="2"/>
  <c r="X53" i="2"/>
  <c r="AB53" i="2"/>
  <c r="AW53" i="2"/>
  <c r="Q53" i="2"/>
  <c r="BO53" i="2"/>
  <c r="AI53" i="2"/>
  <c r="AN10" i="2"/>
  <c r="BB10" i="2"/>
  <c r="BJ10" i="2"/>
  <c r="AZ10" i="2"/>
  <c r="BV10" i="2"/>
  <c r="CM10" i="2"/>
  <c r="BG10" i="2"/>
  <c r="AA10" i="2"/>
  <c r="BY10" i="2"/>
  <c r="AS10" i="2"/>
  <c r="M10" i="2"/>
  <c r="X16" i="2"/>
  <c r="J55" i="1"/>
  <c r="M127" i="1"/>
  <c r="M60" i="1"/>
  <c r="CH6" i="2"/>
  <c r="K127" i="1"/>
  <c r="AV5" i="2"/>
  <c r="J41" i="1"/>
  <c r="CD52" i="2"/>
  <c r="AS12" i="2"/>
  <c r="CG29" i="2"/>
  <c r="K51" i="2"/>
  <c r="BZ30" i="2"/>
  <c r="BP66" i="2"/>
  <c r="AC45" i="2"/>
  <c r="CG25" i="2"/>
  <c r="CA25" i="2"/>
  <c r="BM26" i="2"/>
  <c r="K26" i="2"/>
  <c r="BO32" i="2"/>
  <c r="AF32" i="2"/>
  <c r="K20" i="2"/>
  <c r="V20" i="2"/>
  <c r="AV20" i="2"/>
  <c r="AG40" i="2"/>
  <c r="AZ40" i="2"/>
  <c r="Z36" i="2"/>
  <c r="BH36" i="2"/>
  <c r="BW56" i="2"/>
  <c r="AJ56" i="2"/>
  <c r="AL56" i="2"/>
  <c r="BT19" i="2"/>
  <c r="AE19" i="2"/>
  <c r="V19" i="2"/>
  <c r="M19" i="2"/>
  <c r="AY57" i="2"/>
  <c r="BA57" i="2"/>
  <c r="AE17" i="2"/>
  <c r="AD17" i="2"/>
  <c r="CM17" i="2"/>
  <c r="Y17" i="2"/>
  <c r="AF53" i="2"/>
  <c r="BA53" i="2"/>
  <c r="BS53" i="2"/>
  <c r="I110" i="1"/>
  <c r="BZ10" i="2"/>
  <c r="CD10" i="2"/>
  <c r="BW10" i="2"/>
  <c r="W10" i="2"/>
  <c r="BE10" i="2"/>
  <c r="AF16" i="2"/>
  <c r="O16" i="2"/>
  <c r="AZ16" i="2"/>
  <c r="AY16" i="2"/>
  <c r="BR16" i="2"/>
  <c r="AD16" i="2"/>
  <c r="BM16" i="2"/>
  <c r="U16" i="2"/>
  <c r="BL59" i="2"/>
  <c r="BU59" i="2"/>
  <c r="AC59" i="2"/>
  <c r="BS59" i="2"/>
  <c r="AA59" i="2"/>
  <c r="CI24" i="2"/>
  <c r="BO24" i="2"/>
  <c r="AD24" i="2"/>
  <c r="Z24" i="2"/>
  <c r="BE24" i="2"/>
  <c r="M24" i="2"/>
  <c r="AV24" i="2"/>
  <c r="I53" i="1"/>
  <c r="CJ60" i="2"/>
  <c r="AR60" i="2"/>
  <c r="CH60" i="2"/>
  <c r="BB60" i="2"/>
  <c r="V60" i="2"/>
  <c r="CM50" i="2"/>
  <c r="AA50" i="2"/>
  <c r="AU50" i="2"/>
  <c r="BX50" i="2"/>
  <c r="AR50" i="2"/>
  <c r="L50" i="2"/>
  <c r="BJ50" i="2"/>
  <c r="AD50" i="2"/>
  <c r="BH63" i="2"/>
  <c r="CG63" i="2"/>
  <c r="BA63" i="2"/>
  <c r="U63" i="2"/>
  <c r="BS63" i="2"/>
  <c r="AM63" i="2"/>
  <c r="CH37" i="2"/>
  <c r="BL37" i="2"/>
  <c r="BX37" i="2"/>
  <c r="L37" i="2"/>
  <c r="BI37" i="2"/>
  <c r="AC37" i="2"/>
  <c r="CA37" i="2"/>
  <c r="AU37" i="2"/>
  <c r="O37" i="2"/>
  <c r="V35" i="2"/>
  <c r="BT35" i="2"/>
  <c r="CF35" i="2"/>
  <c r="T35" i="2"/>
  <c r="BM35" i="2"/>
  <c r="AG35" i="2"/>
  <c r="CE35" i="2"/>
  <c r="AY35" i="2"/>
  <c r="S35" i="2"/>
  <c r="BW64" i="2"/>
  <c r="K64" i="2"/>
  <c r="BH64" i="2"/>
  <c r="AB64" i="2"/>
  <c r="BZ64" i="2"/>
  <c r="AT64" i="2"/>
  <c r="N64" i="2"/>
  <c r="AP21" i="2"/>
  <c r="BB21" i="2"/>
  <c r="AW21" i="2"/>
  <c r="BI21" i="2"/>
  <c r="CF21" i="2"/>
  <c r="AZ21" i="2"/>
  <c r="T21" i="2"/>
  <c r="BS21" i="2"/>
  <c r="AM21" i="2"/>
  <c r="BQ18" i="2"/>
  <c r="BM18" i="2"/>
  <c r="Y18" i="2"/>
  <c r="AB18" i="2"/>
  <c r="AV18" i="2"/>
  <c r="CA18" i="2"/>
  <c r="AU18" i="2"/>
  <c r="O18" i="2"/>
  <c r="BN18" i="2"/>
  <c r="AH18" i="2"/>
  <c r="BN41" i="2"/>
  <c r="AZ41" i="2"/>
  <c r="BT41" i="2"/>
  <c r="CK41" i="2"/>
  <c r="BE41" i="2"/>
  <c r="Y41" i="2"/>
  <c r="BW41" i="2"/>
  <c r="AQ41" i="2"/>
  <c r="K41" i="2"/>
  <c r="X33" i="2"/>
  <c r="BV33" i="2"/>
  <c r="CH33" i="2"/>
  <c r="V33" i="2"/>
  <c r="BO33" i="2"/>
  <c r="AI33" i="2"/>
  <c r="CG33" i="2"/>
  <c r="BA33" i="2"/>
  <c r="U33" i="2"/>
  <c r="R65" i="2"/>
  <c r="BK65" i="2"/>
  <c r="AE65" i="2"/>
  <c r="CC65" i="2"/>
  <c r="AW65" i="2"/>
  <c r="Q65" i="2"/>
  <c r="BF8" i="2"/>
  <c r="CD8" i="2"/>
  <c r="AF8" i="2"/>
  <c r="AL8" i="2"/>
  <c r="AZ8" i="2"/>
  <c r="CC8" i="2"/>
  <c r="AW8" i="2"/>
  <c r="Q8" i="2"/>
  <c r="BO8" i="2"/>
  <c r="AI8" i="2"/>
  <c r="CK28" i="2"/>
  <c r="CG28" i="2"/>
  <c r="BK28" i="2"/>
  <c r="CE28" i="2"/>
  <c r="S28" i="2"/>
  <c r="BL28" i="2"/>
  <c r="AF28" i="2"/>
  <c r="CD28" i="2"/>
  <c r="AX28" i="2"/>
  <c r="R28" i="2"/>
  <c r="X54" i="2"/>
  <c r="BE54" i="2"/>
  <c r="O54" i="2"/>
  <c r="AW54" i="2"/>
  <c r="CL54" i="2"/>
  <c r="BF54" i="2"/>
  <c r="K99" i="1"/>
  <c r="BC5" i="2"/>
  <c r="BL5" i="2"/>
  <c r="J38" i="1"/>
  <c r="M99" i="1"/>
  <c r="K124" i="1"/>
  <c r="I55" i="1"/>
  <c r="AD52" i="2"/>
  <c r="M12" i="2"/>
  <c r="AO29" i="2"/>
  <c r="BE51" i="2"/>
  <c r="BB30" i="2"/>
  <c r="AN66" i="2"/>
  <c r="CA45" i="2"/>
  <c r="BA25" i="2"/>
  <c r="BG25" i="2"/>
  <c r="AR26" i="2"/>
  <c r="BN26" i="2"/>
  <c r="AY32" i="2"/>
  <c r="X32" i="2"/>
  <c r="BG20" i="2"/>
  <c r="CK20" i="2"/>
  <c r="AN20" i="2"/>
  <c r="Q40" i="2"/>
  <c r="AR40" i="2"/>
  <c r="CL36" i="2"/>
  <c r="AN36" i="2"/>
  <c r="BG56" i="2"/>
  <c r="AB56" i="2"/>
  <c r="V56" i="2"/>
  <c r="AN19" i="2"/>
  <c r="O19" i="2"/>
  <c r="CG19" i="2"/>
  <c r="CL57" i="2"/>
  <c r="AQ57" i="2"/>
  <c r="AK57" i="2"/>
  <c r="BV17" i="2"/>
  <c r="CJ17" i="2"/>
  <c r="BW17" i="2"/>
  <c r="Q17" i="2"/>
  <c r="P53" i="2"/>
  <c r="AS53" i="2"/>
  <c r="BK53" i="2"/>
  <c r="BT10" i="2"/>
  <c r="AT10" i="2"/>
  <c r="BN10" i="2"/>
  <c r="BS10" i="2"/>
  <c r="S10" i="2"/>
  <c r="AW10" i="2"/>
  <c r="CB16" i="2"/>
  <c r="CI16" i="2"/>
  <c r="AR16" i="2"/>
  <c r="AQ16" i="2"/>
  <c r="BN16" i="2"/>
  <c r="Z16" i="2"/>
  <c r="BI16" i="2"/>
  <c r="Q16" i="2"/>
  <c r="BD59" i="2"/>
  <c r="BQ59" i="2"/>
  <c r="Y59" i="2"/>
  <c r="BO59" i="2"/>
  <c r="W59" i="2"/>
  <c r="BC24" i="2"/>
  <c r="AY24" i="2"/>
  <c r="V24" i="2"/>
  <c r="R24" i="2"/>
  <c r="BA24" i="2"/>
  <c r="CJ24" i="2"/>
  <c r="AR24" i="2"/>
  <c r="CI60" i="2"/>
  <c r="CF60" i="2"/>
  <c r="AN60" i="2"/>
  <c r="CD60" i="2"/>
  <c r="AX60" i="2"/>
  <c r="R60" i="2"/>
  <c r="CE50" i="2"/>
  <c r="S50" i="2"/>
  <c r="AM50" i="2"/>
  <c r="BT50" i="2"/>
  <c r="AN50" i="2"/>
  <c r="CL50" i="2"/>
  <c r="BF50" i="2"/>
  <c r="Z50" i="2"/>
  <c r="AZ63" i="2"/>
  <c r="CC63" i="2"/>
  <c r="AW63" i="2"/>
  <c r="Q63" i="2"/>
  <c r="BO63" i="2"/>
  <c r="AI63" i="2"/>
  <c r="BR37" i="2"/>
  <c r="BD37" i="2"/>
  <c r="BP37" i="2"/>
  <c r="CK37" i="2"/>
  <c r="BE37" i="2"/>
  <c r="Y37" i="2"/>
  <c r="BW37" i="2"/>
  <c r="AQ37" i="2"/>
  <c r="K37" i="2"/>
  <c r="BZ35" i="2"/>
  <c r="BL35" i="2"/>
  <c r="BX35" i="2"/>
  <c r="L35" i="2"/>
  <c r="BI35" i="2"/>
  <c r="AC35" i="2"/>
  <c r="CA35" i="2"/>
  <c r="AU35" i="2"/>
  <c r="O35" i="2"/>
  <c r="BO64" i="2"/>
  <c r="CJ64" i="2"/>
  <c r="BD64" i="2"/>
  <c r="X64" i="2"/>
  <c r="BV64" i="2"/>
  <c r="AP64" i="2"/>
  <c r="CD21" i="2"/>
  <c r="BZ21" i="2"/>
  <c r="AL21" i="2"/>
  <c r="AO21" i="2"/>
  <c r="BA21" i="2"/>
  <c r="CB21" i="2"/>
  <c r="AV21" i="2"/>
  <c r="P21" i="2"/>
  <c r="BO21" i="2"/>
  <c r="AI21" i="2"/>
  <c r="AK18" i="2"/>
  <c r="AW18" i="2"/>
  <c r="CF18" i="2"/>
  <c r="T18" i="2"/>
  <c r="AN18" i="2"/>
  <c r="K93" i="1"/>
  <c r="K69" i="1"/>
  <c r="K112" i="1"/>
  <c r="AS6" i="2"/>
  <c r="M5" i="2"/>
  <c r="BE6" i="2"/>
  <c r="I72" i="1"/>
  <c r="AZ12" i="2"/>
  <c r="AZ29" i="2"/>
  <c r="BB51" i="2"/>
  <c r="BO30" i="2"/>
  <c r="AR30" i="2"/>
  <c r="P45" i="2"/>
  <c r="O45" i="2"/>
  <c r="CJ25" i="2"/>
  <c r="BZ26" i="2"/>
  <c r="X26" i="2"/>
  <c r="CG32" i="2"/>
  <c r="W32" i="2"/>
  <c r="AX32" i="2"/>
  <c r="BV20" i="2"/>
  <c r="AG20" i="2"/>
  <c r="BY40" i="2"/>
  <c r="AL40" i="2"/>
  <c r="CK36" i="2"/>
  <c r="AG36" i="2"/>
  <c r="AB36" i="2"/>
  <c r="CF56" i="2"/>
  <c r="BZ56" i="2"/>
  <c r="AB19" i="2"/>
  <c r="AQ19" i="2"/>
  <c r="BJ19" i="2"/>
  <c r="BA19" i="2"/>
  <c r="Z57" i="2"/>
  <c r="K57" i="2"/>
  <c r="CH17" i="2"/>
  <c r="BA17" i="2"/>
  <c r="BD17" i="2"/>
  <c r="AQ17" i="2"/>
  <c r="BR53" i="2"/>
  <c r="AJ53" i="2"/>
  <c r="U53" i="2"/>
  <c r="AM53" i="2"/>
  <c r="CH10" i="2"/>
  <c r="BH10" i="2"/>
  <c r="AH10" i="2"/>
  <c r="AY10" i="2"/>
  <c r="CC10" i="2"/>
  <c r="AC10" i="2"/>
  <c r="BT16" i="2"/>
  <c r="W16" i="2"/>
  <c r="CM16" i="2"/>
  <c r="K16" i="2"/>
  <c r="AX16" i="2"/>
  <c r="CG16" i="2"/>
  <c r="AS16" i="2"/>
  <c r="I124" i="1"/>
  <c r="P59" i="2"/>
  <c r="BA59" i="2"/>
  <c r="CM59" i="2"/>
  <c r="AU59" i="2"/>
  <c r="I115" i="1"/>
  <c r="BG24" i="2"/>
  <c r="BR24" i="2"/>
  <c r="BV24" i="2"/>
  <c r="BY24" i="2"/>
  <c r="AG24" i="2"/>
  <c r="BT24" i="2"/>
  <c r="AB24" i="2"/>
  <c r="AU60" i="2"/>
  <c r="BP60" i="2"/>
  <c r="X60" i="2"/>
  <c r="BR60" i="2"/>
  <c r="AL60" i="2"/>
  <c r="BU50" i="2"/>
  <c r="BG50" i="2"/>
  <c r="CA50" i="2"/>
  <c r="O50" i="2"/>
  <c r="BH50" i="2"/>
  <c r="AB50" i="2"/>
  <c r="BZ50" i="2"/>
  <c r="AT50" i="2"/>
  <c r="N50" i="2"/>
  <c r="AB63" i="2"/>
  <c r="BQ63" i="2"/>
  <c r="AK63" i="2"/>
  <c r="CI63" i="2"/>
  <c r="BC63" i="2"/>
  <c r="W63" i="2"/>
  <c r="V37" i="2"/>
  <c r="AF37" i="2"/>
  <c r="AR37" i="2"/>
  <c r="BY37" i="2"/>
  <c r="AS37" i="2"/>
  <c r="M37" i="2"/>
  <c r="BK37" i="2"/>
  <c r="AE37" i="2"/>
  <c r="CH35" i="2"/>
  <c r="AD35" i="2"/>
  <c r="AN35" i="2"/>
  <c r="AZ35" i="2"/>
  <c r="CC35" i="2"/>
  <c r="AW35" i="2"/>
  <c r="Q35" i="2"/>
  <c r="BO35" i="2"/>
  <c r="AI35" i="2"/>
  <c r="I108" i="1"/>
  <c r="AQ64" i="2"/>
  <c r="BX64" i="2"/>
  <c r="AR64" i="2"/>
  <c r="L64" i="2"/>
  <c r="BJ64" i="2"/>
  <c r="AD64" i="2"/>
  <c r="CL21" i="2"/>
  <c r="AD21" i="2"/>
  <c r="CC21" i="2"/>
  <c r="Q21" i="2"/>
  <c r="AC21" i="2"/>
  <c r="BP21" i="2"/>
  <c r="AJ21" i="2"/>
  <c r="CI21" i="2"/>
  <c r="BC21" i="2"/>
  <c r="W21" i="2"/>
  <c r="M18" i="2"/>
  <c r="CK18" i="2"/>
  <c r="BH18" i="2"/>
  <c r="CB18" i="2"/>
  <c r="P18" i="2"/>
  <c r="BK18" i="2"/>
  <c r="AE18" i="2"/>
  <c r="CD18" i="2"/>
  <c r="AX18" i="2"/>
  <c r="R18" i="2"/>
  <c r="CF41" i="2"/>
  <c r="T41" i="2"/>
  <c r="AN41" i="2"/>
  <c r="BU41" i="2"/>
  <c r="AO41" i="2"/>
  <c r="CM41" i="2"/>
  <c r="BG41" i="2"/>
  <c r="AA41" i="2"/>
  <c r="CJ33" i="2"/>
  <c r="AF33" i="2"/>
  <c r="AP33" i="2"/>
  <c r="BB33" i="2"/>
  <c r="CE33" i="2"/>
  <c r="AY33" i="2"/>
  <c r="S33" i="2"/>
  <c r="BQ33" i="2"/>
  <c r="AK33" i="2"/>
  <c r="AX65" i="2"/>
  <c r="CA65" i="2"/>
  <c r="AU65" i="2"/>
  <c r="O65" i="2"/>
  <c r="BM65" i="2"/>
  <c r="AG65" i="2"/>
  <c r="I113" i="1"/>
  <c r="AN8" i="2"/>
  <c r="R8" i="2"/>
  <c r="BR8" i="2"/>
  <c r="CF8" i="2"/>
  <c r="T8" i="2"/>
  <c r="BM8" i="2"/>
  <c r="AG8" i="2"/>
  <c r="CE8" i="2"/>
  <c r="AY8" i="2"/>
  <c r="S8" i="2"/>
  <c r="BI28" i="2"/>
  <c r="U28" i="2"/>
  <c r="AE28" i="2"/>
  <c r="AY28" i="2"/>
  <c r="CB28" i="2"/>
  <c r="AV28" i="2"/>
  <c r="P28" i="2"/>
  <c r="BN28" i="2"/>
  <c r="AH28" i="2"/>
  <c r="BO54" i="2"/>
  <c r="CA54" i="2"/>
  <c r="AJ54" i="2"/>
  <c r="BS54" i="2"/>
  <c r="AB54" i="2"/>
  <c r="BV54" i="2"/>
  <c r="AP54" i="2"/>
  <c r="I114" i="1"/>
  <c r="BU44" i="2"/>
  <c r="CG44" i="2"/>
  <c r="U44" i="2"/>
  <c r="BN44" i="2"/>
  <c r="AH44" i="2"/>
  <c r="K117" i="1"/>
  <c r="P6" i="2"/>
  <c r="J101" i="1"/>
  <c r="M93" i="1"/>
  <c r="J59" i="1"/>
  <c r="H111" i="1"/>
  <c r="I76" i="1"/>
  <c r="L12" i="2"/>
  <c r="CL29" i="2"/>
  <c r="V51" i="2"/>
  <c r="BI30" i="2"/>
  <c r="CL66" i="2"/>
  <c r="AR45" i="2"/>
  <c r="AT25" i="2"/>
  <c r="BH25" i="2"/>
  <c r="AK26" i="2"/>
  <c r="BO26" i="2"/>
  <c r="U32" i="2"/>
  <c r="CJ32" i="2"/>
  <c r="AP32" i="2"/>
  <c r="BF20" i="2"/>
  <c r="Y20" i="2"/>
  <c r="BI40" i="2"/>
  <c r="AD40" i="2"/>
  <c r="BU36" i="2"/>
  <c r="V36" i="2"/>
  <c r="T36" i="2"/>
  <c r="BP56" i="2"/>
  <c r="BR56" i="2"/>
  <c r="AR19" i="2"/>
  <c r="K19" i="2"/>
  <c r="BB19" i="2"/>
  <c r="AS19" i="2"/>
  <c r="CE57" i="2"/>
  <c r="CG57" i="2"/>
  <c r="BB17" i="2"/>
  <c r="N17" i="2"/>
  <c r="AV17" i="2"/>
  <c r="AF17" i="2"/>
  <c r="CL53" i="2"/>
  <c r="T53" i="2"/>
  <c r="M53" i="2"/>
  <c r="AE53" i="2"/>
  <c r="V10" i="2"/>
  <c r="AR10" i="2"/>
  <c r="R10" i="2"/>
  <c r="AQ10" i="2"/>
  <c r="BU10" i="2"/>
  <c r="Y10" i="2"/>
  <c r="AN16" i="2"/>
  <c r="CF16" i="2"/>
  <c r="CE16" i="2"/>
  <c r="CL16" i="2"/>
  <c r="AT16" i="2"/>
  <c r="CC16" i="2"/>
  <c r="AO16" i="2"/>
  <c r="I122" i="1"/>
  <c r="CK59" i="2"/>
  <c r="AW59" i="2"/>
  <c r="CI59" i="2"/>
  <c r="AQ59" i="2"/>
  <c r="O24" i="2"/>
  <c r="AQ24" i="2"/>
  <c r="BJ24" i="2"/>
  <c r="BN24" i="2"/>
  <c r="BU24" i="2"/>
  <c r="AC24" i="2"/>
  <c r="BP24" i="2"/>
  <c r="X24" i="2"/>
  <c r="AM60" i="2"/>
  <c r="BL60" i="2"/>
  <c r="T60" i="2"/>
  <c r="BN60" i="2"/>
  <c r="AH60" i="2"/>
  <c r="BE50" i="2"/>
  <c r="AY50" i="2"/>
  <c r="BS50" i="2"/>
  <c r="CJ50" i="2"/>
  <c r="BD50" i="2"/>
  <c r="X50" i="2"/>
  <c r="BV50" i="2"/>
  <c r="AP50" i="2"/>
  <c r="CF63" i="2"/>
  <c r="T63" i="2"/>
  <c r="BM63" i="2"/>
  <c r="AG63" i="2"/>
  <c r="CE63" i="2"/>
  <c r="AY63" i="2"/>
  <c r="S63" i="2"/>
  <c r="CJ37" i="2"/>
  <c r="X37" i="2"/>
  <c r="AJ37" i="2"/>
  <c r="BU37" i="2"/>
  <c r="AO37" i="2"/>
  <c r="CM37" i="2"/>
  <c r="BG37" i="2"/>
  <c r="AA37" i="2"/>
  <c r="BR35" i="2"/>
  <c r="N35" i="2"/>
  <c r="AF35" i="2"/>
  <c r="AR35" i="2"/>
  <c r="BY35" i="2"/>
  <c r="AS35" i="2"/>
  <c r="M35" i="2"/>
  <c r="BK35" i="2"/>
  <c r="AE35" i="2"/>
  <c r="I109" i="1"/>
  <c r="AI64" i="2"/>
  <c r="BT64" i="2"/>
  <c r="AN64" i="2"/>
  <c r="CL64" i="2"/>
  <c r="BF64" i="2"/>
  <c r="Z64" i="2"/>
  <c r="BF21" i="2"/>
  <c r="N21" i="2"/>
  <c r="BU21" i="2"/>
  <c r="CG21" i="2"/>
  <c r="U21" i="2"/>
  <c r="BL21" i="2"/>
  <c r="AF21" i="2"/>
  <c r="CE21" i="2"/>
  <c r="AY21" i="2"/>
  <c r="S21" i="2"/>
  <c r="BI18" i="2"/>
  <c r="BU18" i="2"/>
  <c r="AZ18" i="2"/>
  <c r="BT18" i="2"/>
  <c r="AU5" i="2"/>
  <c r="J105" i="1"/>
  <c r="O6" i="2"/>
  <c r="AM52" i="2"/>
  <c r="BN29" i="2"/>
  <c r="AK30" i="2"/>
  <c r="L45" i="2"/>
  <c r="BD25" i="2"/>
  <c r="BC26" i="2"/>
  <c r="BX32" i="2"/>
  <c r="AH20" i="2"/>
  <c r="AK40" i="2"/>
  <c r="AW36" i="2"/>
  <c r="P36" i="2"/>
  <c r="BN56" i="2"/>
  <c r="CI19" i="2"/>
  <c r="AO19" i="2"/>
  <c r="CC57" i="2"/>
  <c r="CK17" i="2"/>
  <c r="AA17" i="2"/>
  <c r="L53" i="2"/>
  <c r="AA53" i="2"/>
  <c r="AJ10" i="2"/>
  <c r="AM10" i="2"/>
  <c r="Q10" i="2"/>
  <c r="BP16" i="2"/>
  <c r="CD16" i="2"/>
  <c r="BY16" i="2"/>
  <c r="CB59" i="2"/>
  <c r="AO59" i="2"/>
  <c r="AM59" i="2"/>
  <c r="K24" i="2"/>
  <c r="AX24" i="2"/>
  <c r="Y24" i="2"/>
  <c r="P24" i="2"/>
  <c r="BD60" i="2"/>
  <c r="BJ60" i="2"/>
  <c r="AO50" i="2"/>
  <c r="BK50" i="2"/>
  <c r="AZ50" i="2"/>
  <c r="BR50" i="2"/>
  <c r="BX63" i="2"/>
  <c r="BI63" i="2"/>
  <c r="CA63" i="2"/>
  <c r="O63" i="2"/>
  <c r="P37" i="2"/>
  <c r="BQ37" i="2"/>
  <c r="CI37" i="2"/>
  <c r="W37" i="2"/>
  <c r="CJ35" i="2"/>
  <c r="AJ35" i="2"/>
  <c r="AO35" i="2"/>
  <c r="BG35" i="2"/>
  <c r="CM64" i="2"/>
  <c r="BP64" i="2"/>
  <c r="CH64" i="2"/>
  <c r="V64" i="2"/>
  <c r="CH21" i="2"/>
  <c r="BY21" i="2"/>
  <c r="BH21" i="2"/>
  <c r="CA21" i="2"/>
  <c r="O21" i="2"/>
  <c r="BE18" i="2"/>
  <c r="BL18" i="2"/>
  <c r="BS18" i="2"/>
  <c r="AA18" i="2"/>
  <c r="BR18" i="2"/>
  <c r="Z18" i="2"/>
  <c r="BX41" i="2"/>
  <c r="CB41" i="2"/>
  <c r="CC41" i="2"/>
  <c r="AK41" i="2"/>
  <c r="CA41" i="2"/>
  <c r="AI41" i="2"/>
  <c r="BT33" i="2"/>
  <c r="CD33" i="2"/>
  <c r="BR33" i="2"/>
  <c r="CA33" i="2"/>
  <c r="AM33" i="2"/>
  <c r="BY33" i="2"/>
  <c r="AG33" i="2"/>
  <c r="Z65" i="2"/>
  <c r="BC65" i="2"/>
  <c r="K65" i="2"/>
  <c r="BA65" i="2"/>
  <c r="I105" i="1"/>
  <c r="CJ8" i="2"/>
  <c r="AV8" i="2"/>
  <c r="V8" i="2"/>
  <c r="L8" i="2"/>
  <c r="BA8" i="2"/>
  <c r="CM8" i="2"/>
  <c r="AU8" i="2"/>
  <c r="I37" i="1"/>
  <c r="BA28" i="2"/>
  <c r="W28" i="2"/>
  <c r="AA28" i="2"/>
  <c r="BD28" i="2"/>
  <c r="L28" i="2"/>
  <c r="BB28" i="2"/>
  <c r="CJ54" i="2"/>
  <c r="BU54" i="2"/>
  <c r="T54" i="2"/>
  <c r="AM54" i="2"/>
  <c r="BR54" i="2"/>
  <c r="AD54" i="2"/>
  <c r="AE44" i="2"/>
  <c r="AG44" i="2"/>
  <c r="AK44" i="2"/>
  <c r="BR44" i="2"/>
  <c r="AD44" i="2"/>
  <c r="BX44" i="2"/>
  <c r="AR44" i="2"/>
  <c r="L44" i="2"/>
  <c r="BW42" i="2"/>
  <c r="K42" i="2"/>
  <c r="AE42" i="2"/>
  <c r="BP42" i="2"/>
  <c r="AJ42" i="2"/>
  <c r="CH42" i="2"/>
  <c r="BB42" i="2"/>
  <c r="V42" i="2"/>
  <c r="AT61" i="2"/>
  <c r="CA61" i="2"/>
  <c r="AU61" i="2"/>
  <c r="O61" i="2"/>
  <c r="BM61" i="2"/>
  <c r="AG61" i="2"/>
  <c r="P23" i="2"/>
  <c r="AR23" i="2"/>
  <c r="CI23" i="2"/>
  <c r="W23" i="2"/>
  <c r="AQ23" i="2"/>
  <c r="BZ23" i="2"/>
  <c r="AT23" i="2"/>
  <c r="N23" i="2"/>
  <c r="BI23" i="2"/>
  <c r="AC23" i="2"/>
  <c r="AJ39" i="2"/>
  <c r="AL39" i="2"/>
  <c r="BF39" i="2"/>
  <c r="CE39" i="2"/>
  <c r="AY39" i="2"/>
  <c r="S39" i="2"/>
  <c r="BQ39" i="2"/>
  <c r="AK39" i="2"/>
  <c r="CG13" i="2"/>
  <c r="AI13" i="2"/>
  <c r="BG13" i="2"/>
  <c r="BE13" i="2"/>
  <c r="BS13" i="2"/>
  <c r="CJ13" i="2"/>
  <c r="BD13" i="2"/>
  <c r="X13" i="2"/>
  <c r="BV13" i="2"/>
  <c r="AP13" i="2"/>
  <c r="I42" i="1"/>
  <c r="W9" i="2"/>
  <c r="CA9" i="2"/>
  <c r="BI9" i="2"/>
  <c r="CE9" i="2"/>
  <c r="S9" i="2"/>
  <c r="BL9" i="2"/>
  <c r="AF9" i="2"/>
  <c r="CD9" i="2"/>
  <c r="AX9" i="2"/>
  <c r="R9" i="2"/>
  <c r="CI38" i="2"/>
  <c r="W38" i="2"/>
  <c r="AQ38" i="2"/>
  <c r="BX38" i="2"/>
  <c r="AR38" i="2"/>
  <c r="L38" i="2"/>
  <c r="BJ38" i="2"/>
  <c r="AD38" i="2"/>
  <c r="AP49" i="2"/>
  <c r="AJ49" i="2"/>
  <c r="BD49" i="2"/>
  <c r="CC49" i="2"/>
  <c r="AW49" i="2"/>
  <c r="Q49" i="2"/>
  <c r="BO49" i="2"/>
  <c r="AI49" i="2"/>
  <c r="BL43" i="2"/>
  <c r="BF43" i="2"/>
  <c r="BR43" i="2"/>
  <c r="CM43" i="2"/>
  <c r="BG43" i="2"/>
  <c r="AA43" i="2"/>
  <c r="BY43" i="2"/>
  <c r="AS43" i="2"/>
  <c r="M43" i="2"/>
  <c r="AB55" i="2"/>
  <c r="BM55" i="2"/>
  <c r="AG55" i="2"/>
  <c r="Y5" i="2"/>
  <c r="U5" i="2"/>
  <c r="K80" i="1"/>
  <c r="BA52" i="2"/>
  <c r="BC29" i="2"/>
  <c r="AO30" i="2"/>
  <c r="AS45" i="2"/>
  <c r="X25" i="2"/>
  <c r="AI26" i="2"/>
  <c r="BD32" i="2"/>
  <c r="BR20" i="2"/>
  <c r="CC40" i="2"/>
  <c r="BY36" i="2"/>
  <c r="CM56" i="2"/>
  <c r="AT56" i="2"/>
  <c r="BK19" i="2"/>
  <c r="U19" i="2"/>
  <c r="BI57" i="2"/>
  <c r="BM17" i="2"/>
  <c r="AG17" i="2"/>
  <c r="BI53" i="2"/>
  <c r="O53" i="2"/>
  <c r="L10" i="2"/>
  <c r="AE10" i="2"/>
  <c r="I39" i="1"/>
  <c r="BH16" i="2"/>
  <c r="BZ16" i="2"/>
  <c r="BU16" i="2"/>
  <c r="BT59" i="2"/>
  <c r="AK59" i="2"/>
  <c r="AI59" i="2"/>
  <c r="CE24" i="2"/>
  <c r="AP24" i="2"/>
  <c r="U24" i="2"/>
  <c r="L24" i="2"/>
  <c r="AZ60" i="2"/>
  <c r="BF60" i="2"/>
  <c r="Y50" i="2"/>
  <c r="BC50" i="2"/>
  <c r="AV50" i="2"/>
  <c r="BN50" i="2"/>
  <c r="BP63" i="2"/>
  <c r="BE63" i="2"/>
  <c r="BW63" i="2"/>
  <c r="K63" i="2"/>
  <c r="CF37" i="2"/>
  <c r="BM37" i="2"/>
  <c r="CE37" i="2"/>
  <c r="S37" i="2"/>
  <c r="CB35" i="2"/>
  <c r="AB35" i="2"/>
  <c r="AK35" i="2"/>
  <c r="BC35" i="2"/>
  <c r="CE64" i="2"/>
  <c r="BL64" i="2"/>
  <c r="CD64" i="2"/>
  <c r="R64" i="2"/>
  <c r="BR21" i="2"/>
  <c r="BQ21" i="2"/>
  <c r="BD21" i="2"/>
  <c r="BW21" i="2"/>
  <c r="K21" i="2"/>
  <c r="AO18" i="2"/>
  <c r="BD18" i="2"/>
  <c r="BO18" i="2"/>
  <c r="W18" i="2"/>
  <c r="BJ18" i="2"/>
  <c r="V18" i="2"/>
  <c r="BP41" i="2"/>
  <c r="BL41" i="2"/>
  <c r="BY41" i="2"/>
  <c r="AG41" i="2"/>
  <c r="BS41" i="2"/>
  <c r="AE41" i="2"/>
  <c r="BD33" i="2"/>
  <c r="BN33" i="2"/>
  <c r="BJ33" i="2"/>
  <c r="BW33" i="2"/>
  <c r="AE33" i="2"/>
  <c r="BU33" i="2"/>
  <c r="AC33" i="2"/>
  <c r="CM65" i="2"/>
  <c r="AY65" i="2"/>
  <c r="CK65" i="2"/>
  <c r="AS65" i="2"/>
  <c r="I106" i="1"/>
  <c r="BD8" i="2"/>
  <c r="P8" i="2"/>
  <c r="N8" i="2"/>
  <c r="CK8" i="2"/>
  <c r="AS8" i="2"/>
  <c r="CI8" i="2"/>
  <c r="AQ8" i="2"/>
  <c r="BE28" i="2"/>
  <c r="AK28" i="2"/>
  <c r="O28" i="2"/>
  <c r="K28" i="2"/>
  <c r="AZ28" i="2"/>
  <c r="CL28" i="2"/>
  <c r="AT28" i="2"/>
  <c r="BY54" i="2"/>
  <c r="BP54" i="2"/>
  <c r="CI54" i="2"/>
  <c r="AG54" i="2"/>
  <c r="BN54" i="2"/>
  <c r="Z54" i="2"/>
  <c r="O44" i="2"/>
  <c r="Y44" i="2"/>
  <c r="AC44" i="2"/>
  <c r="BJ44" i="2"/>
  <c r="Z44" i="2"/>
  <c r="BT44" i="2"/>
  <c r="AN44" i="2"/>
  <c r="CC42" i="2"/>
  <c r="BO42" i="2"/>
  <c r="CI42" i="2"/>
  <c r="W42" i="2"/>
  <c r="BL42" i="2"/>
  <c r="AF42" i="2"/>
  <c r="CD42" i="2"/>
  <c r="AX42" i="2"/>
  <c r="R42" i="2"/>
  <c r="AL61" i="2"/>
  <c r="BW61" i="2"/>
  <c r="AQ61" i="2"/>
  <c r="K61" i="2"/>
  <c r="BI61" i="2"/>
  <c r="AC61" i="2"/>
  <c r="CJ23" i="2"/>
  <c r="AB23" i="2"/>
  <c r="CA23" i="2"/>
  <c r="O23" i="2"/>
  <c r="AI23" i="2"/>
  <c r="BV23" i="2"/>
  <c r="AP23" i="2"/>
  <c r="CK23" i="2"/>
  <c r="BE23" i="2"/>
  <c r="Y23" i="2"/>
  <c r="T39" i="2"/>
  <c r="AD39" i="2"/>
  <c r="AX39" i="2"/>
  <c r="CA39" i="2"/>
  <c r="AU39" i="2"/>
  <c r="O39" i="2"/>
  <c r="BM39" i="2"/>
  <c r="AG39" i="2"/>
  <c r="U13" i="2"/>
  <c r="BY13" i="2"/>
  <c r="AQ13" i="2"/>
  <c r="AW13" i="2"/>
  <c r="BK13" i="2"/>
  <c r="CF13" i="2"/>
  <c r="AZ13" i="2"/>
  <c r="T13" i="2"/>
  <c r="BR13" i="2"/>
  <c r="K89" i="1"/>
  <c r="K105" i="1"/>
  <c r="K58" i="1"/>
  <c r="BF12" i="2"/>
  <c r="BW51" i="2"/>
  <c r="CH66" i="2"/>
  <c r="V25" i="2"/>
  <c r="U26" i="2"/>
  <c r="BE32" i="2"/>
  <c r="AD32" i="2"/>
  <c r="M20" i="2"/>
  <c r="R40" i="2"/>
  <c r="O36" i="2"/>
  <c r="BL56" i="2"/>
  <c r="L19" i="2"/>
  <c r="AX19" i="2"/>
  <c r="CA57" i="2"/>
  <c r="BJ17" i="2"/>
  <c r="AR17" i="2"/>
  <c r="CG53" i="2"/>
  <c r="CM53" i="2"/>
  <c r="CB10" i="2"/>
  <c r="CI10" i="2"/>
  <c r="BQ10" i="2"/>
  <c r="BK16" i="2"/>
  <c r="BW16" i="2"/>
  <c r="AL16" i="2"/>
  <c r="AG16" i="2"/>
  <c r="CG59" i="2"/>
  <c r="CA59" i="2"/>
  <c r="BK24" i="2"/>
  <c r="BB24" i="2"/>
  <c r="BM24" i="2"/>
  <c r="BH24" i="2"/>
  <c r="AE60" i="2"/>
  <c r="L60" i="2"/>
  <c r="AD60" i="2"/>
  <c r="AQ50" i="2"/>
  <c r="CF50" i="2"/>
  <c r="T50" i="2"/>
  <c r="AL50" i="2"/>
  <c r="L63" i="2"/>
  <c r="AC63" i="2"/>
  <c r="AU63" i="2"/>
  <c r="CB37" i="2"/>
  <c r="AB37" i="2"/>
  <c r="AK37" i="2"/>
  <c r="BC37" i="2"/>
  <c r="BB35" i="2"/>
  <c r="X35" i="2"/>
  <c r="BU35" i="2"/>
  <c r="CM35" i="2"/>
  <c r="AA35" i="2"/>
  <c r="AA64" i="2"/>
  <c r="AJ64" i="2"/>
  <c r="BB64" i="2"/>
  <c r="Z21" i="2"/>
  <c r="BM21" i="2"/>
  <c r="M21" i="2"/>
  <c r="AB21" i="2"/>
  <c r="AU21" i="2"/>
  <c r="AC18" i="2"/>
  <c r="AR18" i="2"/>
  <c r="CM18" i="2"/>
  <c r="AY18" i="2"/>
  <c r="CL18" i="2"/>
  <c r="AT18" i="2"/>
  <c r="CD41" i="2"/>
  <c r="AJ41" i="2"/>
  <c r="AF41" i="2"/>
  <c r="BI41" i="2"/>
  <c r="Q41" i="2"/>
  <c r="BC41" i="2"/>
  <c r="O41" i="2"/>
  <c r="BL33" i="2"/>
  <c r="AH33" i="2"/>
  <c r="AD33" i="2"/>
  <c r="BG33" i="2"/>
  <c r="O33" i="2"/>
  <c r="BE33" i="2"/>
  <c r="M33" i="2"/>
  <c r="BW65" i="2"/>
  <c r="AI65" i="2"/>
  <c r="BU65" i="2"/>
  <c r="AC65" i="2"/>
  <c r="AP8" i="2"/>
  <c r="AX8" i="2"/>
  <c r="BJ8" i="2"/>
  <c r="BH8" i="2"/>
  <c r="BU8" i="2"/>
  <c r="AC8" i="2"/>
  <c r="BS8" i="2"/>
  <c r="AA8" i="2"/>
  <c r="AS28" i="2"/>
  <c r="BS28" i="2"/>
  <c r="BO28" i="2"/>
  <c r="BX28" i="2"/>
  <c r="AJ28" i="2"/>
  <c r="BV28" i="2"/>
  <c r="AD28" i="2"/>
  <c r="AI54" i="2"/>
  <c r="AU54" i="2"/>
  <c r="BM54" i="2"/>
  <c r="L54" i="2"/>
  <c r="AX54" i="2"/>
  <c r="N54" i="2"/>
  <c r="BM44" i="2"/>
  <c r="BQ44" i="2"/>
  <c r="CH44" i="2"/>
  <c r="AX44" i="2"/>
  <c r="N44" i="2"/>
  <c r="BH44" i="2"/>
  <c r="AB44" i="2"/>
  <c r="AG42" i="2"/>
  <c r="AQ42" i="2"/>
  <c r="BK42" i="2"/>
  <c r="CF42" i="2"/>
  <c r="AZ42" i="2"/>
  <c r="T42" i="2"/>
  <c r="BR42" i="2"/>
  <c r="AL42" i="2"/>
  <c r="BZ61" i="2"/>
  <c r="N61" i="2"/>
  <c r="BK61" i="2"/>
  <c r="AE61" i="2"/>
  <c r="CC61" i="2"/>
  <c r="AW61" i="2"/>
  <c r="Q61" i="2"/>
  <c r="BT23" i="2"/>
  <c r="BP23" i="2"/>
  <c r="BC23" i="2"/>
  <c r="BW23" i="2"/>
  <c r="K23" i="2"/>
  <c r="BJ23" i="2"/>
  <c r="AD23" i="2"/>
  <c r="BY23" i="2"/>
  <c r="AS23" i="2"/>
  <c r="M23" i="2"/>
  <c r="BR39" i="2"/>
  <c r="CL39" i="2"/>
  <c r="Z39" i="2"/>
  <c r="BO39" i="2"/>
  <c r="AI39" i="2"/>
  <c r="CG39" i="2"/>
  <c r="BA39" i="2"/>
  <c r="U39" i="2"/>
  <c r="CE13" i="2"/>
  <c r="AC13" i="2"/>
  <c r="CK13" i="2"/>
  <c r="Y13" i="2"/>
  <c r="AM13" i="2"/>
  <c r="BT13" i="2"/>
  <c r="AN13" i="2"/>
  <c r="CL13" i="2"/>
  <c r="BF13" i="2"/>
  <c r="Z13" i="2"/>
  <c r="AO9" i="2"/>
  <c r="BM9" i="2"/>
  <c r="O9" i="2"/>
  <c r="AC9" i="2"/>
  <c r="AY9" i="2"/>
  <c r="CB9" i="2"/>
  <c r="AV9" i="2"/>
  <c r="P9" i="2"/>
  <c r="BN9" i="2"/>
  <c r="AH9" i="2"/>
  <c r="BQ38" i="2"/>
  <c r="BC38" i="2"/>
  <c r="BW38" i="2"/>
  <c r="K38" i="2"/>
  <c r="BH38" i="2"/>
  <c r="AB38" i="2"/>
  <c r="BZ38" i="2"/>
  <c r="AT38" i="2"/>
  <c r="N38" i="2"/>
  <c r="BP49" i="2"/>
  <c r="CJ49" i="2"/>
  <c r="X49" i="2"/>
  <c r="BM49" i="2"/>
  <c r="AG49" i="2"/>
  <c r="CE49" i="2"/>
  <c r="AY49" i="2"/>
  <c r="S49" i="2"/>
  <c r="CL43" i="2"/>
  <c r="Z43" i="2"/>
  <c r="AL43" i="2"/>
  <c r="BW43" i="2"/>
  <c r="AQ43" i="2"/>
  <c r="K43" i="2"/>
  <c r="BI43" i="2"/>
  <c r="AC43" i="2"/>
  <c r="BH55" i="2"/>
  <c r="CC55" i="2"/>
  <c r="AW55" i="2"/>
  <c r="N55" i="2"/>
  <c r="BK55" i="2"/>
  <c r="AE55" i="2"/>
  <c r="M55" i="2"/>
  <c r="BQ11" i="2"/>
  <c r="BI11" i="2"/>
  <c r="BG11" i="2"/>
  <c r="CC11" i="2"/>
  <c r="Q11" i="2"/>
  <c r="BJ11" i="2"/>
  <c r="AD11" i="2"/>
  <c r="BX11" i="2"/>
  <c r="AR11" i="2"/>
  <c r="L11" i="2"/>
  <c r="AK62" i="2"/>
  <c r="BV62" i="2"/>
  <c r="AP62" i="2"/>
  <c r="CJ62" i="2"/>
  <c r="BD62" i="2"/>
  <c r="X62" i="2"/>
  <c r="BJ27" i="2"/>
  <c r="CJ27" i="2"/>
  <c r="U27" i="2"/>
  <c r="AJ27" i="2"/>
  <c r="BQ27" i="2"/>
  <c r="AK27" i="2"/>
  <c r="CE27" i="2"/>
  <c r="AY27" i="2"/>
  <c r="O27" i="2"/>
  <c r="AS67" i="2"/>
  <c r="M67" i="2"/>
  <c r="CD31" i="2"/>
  <c r="BH31" i="2"/>
  <c r="CB31" i="2"/>
  <c r="P31" i="2"/>
  <c r="BI31" i="2"/>
  <c r="AC31" i="2"/>
  <c r="CA31" i="2"/>
  <c r="AU31" i="2"/>
  <c r="O31" i="2"/>
  <c r="AM34" i="2"/>
  <c r="CC34" i="2"/>
  <c r="Q34" i="2"/>
  <c r="AC34" i="2"/>
  <c r="BR34" i="2"/>
  <c r="AL34" i="2"/>
  <c r="CF34" i="2"/>
  <c r="AZ34" i="2"/>
  <c r="T34" i="2"/>
  <c r="T14" i="2"/>
  <c r="BU14" i="2"/>
  <c r="BB14" i="2"/>
  <c r="BI14" i="2"/>
  <c r="BX14" i="2"/>
  <c r="AR14" i="2"/>
  <c r="CE14" i="2"/>
  <c r="AY14" i="2"/>
  <c r="AE14" i="2"/>
  <c r="U14" i="2"/>
  <c r="BU15" i="2"/>
  <c r="AF15" i="2"/>
  <c r="M44" i="1"/>
  <c r="BM6" i="2"/>
  <c r="K86" i="1"/>
  <c r="K85" i="1"/>
  <c r="CK12" i="2"/>
  <c r="AI51" i="2"/>
  <c r="AT66" i="2"/>
  <c r="CD25" i="2"/>
  <c r="CL26" i="2"/>
  <c r="AW32" i="2"/>
  <c r="I119" i="1"/>
  <c r="BT20" i="2"/>
  <c r="BX40" i="2"/>
  <c r="BP36" i="2"/>
  <c r="AZ56" i="2"/>
  <c r="P19" i="2"/>
  <c r="AD19" i="2"/>
  <c r="BO57" i="2"/>
  <c r="BN17" i="2"/>
  <c r="R17" i="2"/>
  <c r="BL53" i="2"/>
  <c r="CA53" i="2"/>
  <c r="AF10" i="2"/>
  <c r="CE10" i="2"/>
  <c r="BI10" i="2"/>
  <c r="AU16" i="2"/>
  <c r="BO16" i="2"/>
  <c r="AH16" i="2"/>
  <c r="AC16" i="2"/>
  <c r="CC59" i="2"/>
  <c r="BW59" i="2"/>
  <c r="BS24" i="2"/>
  <c r="AT24" i="2"/>
  <c r="BI24" i="2"/>
  <c r="BD24" i="2"/>
  <c r="W60" i="2"/>
  <c r="CL60" i="2"/>
  <c r="Z60" i="2"/>
  <c r="AI50" i="2"/>
  <c r="CB50" i="2"/>
  <c r="P50" i="2"/>
  <c r="AH50" i="2"/>
  <c r="CK63" i="2"/>
  <c r="Y63" i="2"/>
  <c r="AQ63" i="2"/>
  <c r="BT37" i="2"/>
  <c r="T37" i="2"/>
  <c r="AG37" i="2"/>
  <c r="AY37" i="2"/>
  <c r="AL35" i="2"/>
  <c r="P35" i="2"/>
  <c r="BQ35" i="2"/>
  <c r="CI35" i="2"/>
  <c r="W35" i="2"/>
  <c r="S64" i="2"/>
  <c r="AF64" i="2"/>
  <c r="AX64" i="2"/>
  <c r="BV21" i="2"/>
  <c r="BE21" i="2"/>
  <c r="CJ21" i="2"/>
  <c r="X21" i="2"/>
  <c r="AQ21" i="2"/>
  <c r="CC18" i="2"/>
  <c r="AJ18" i="2"/>
  <c r="CI18" i="2"/>
  <c r="AQ18" i="2"/>
  <c r="CH18" i="2"/>
  <c r="AP18" i="2"/>
  <c r="AX41" i="2"/>
  <c r="AB41" i="2"/>
  <c r="X41" i="2"/>
  <c r="BA41" i="2"/>
  <c r="M41" i="2"/>
  <c r="AY41" i="2"/>
  <c r="I125" i="1"/>
  <c r="AV33" i="2"/>
  <c r="Z33" i="2"/>
  <c r="N33" i="2"/>
  <c r="BC33" i="2"/>
  <c r="K33" i="2"/>
  <c r="AW33" i="2"/>
  <c r="BF65" i="2"/>
  <c r="BS65" i="2"/>
  <c r="AA65" i="2"/>
  <c r="BQ65" i="2"/>
  <c r="Y65" i="2"/>
  <c r="CL8" i="2"/>
  <c r="AH8" i="2"/>
  <c r="BB8" i="2"/>
  <c r="AR8" i="2"/>
  <c r="BQ8" i="2"/>
  <c r="Y8" i="2"/>
  <c r="BK8" i="2"/>
  <c r="W8" i="2"/>
  <c r="AC28" i="2"/>
  <c r="BC28" i="2"/>
  <c r="BG28" i="2"/>
  <c r="BT28" i="2"/>
  <c r="AB28" i="2"/>
  <c r="BR28" i="2"/>
  <c r="Z28" i="2"/>
  <c r="M54" i="2"/>
  <c r="AO54" i="2"/>
  <c r="BH54" i="2"/>
  <c r="CH54" i="2"/>
  <c r="AT54" i="2"/>
  <c r="CA44" i="2"/>
  <c r="BE44" i="2"/>
  <c r="BI44" i="2"/>
  <c r="CD44" i="2"/>
  <c r="AT44" i="2"/>
  <c r="CJ44" i="2"/>
  <c r="BD44" i="2"/>
  <c r="X44" i="2"/>
  <c r="Q42" i="2"/>
  <c r="AI42" i="2"/>
  <c r="BC42" i="2"/>
  <c r="CB42" i="2"/>
  <c r="AV42" i="2"/>
  <c r="P42" i="2"/>
  <c r="BN42" i="2"/>
  <c r="AH42" i="2"/>
  <c r="BR61" i="2"/>
  <c r="CM61" i="2"/>
  <c r="BG61" i="2"/>
  <c r="AA61" i="2"/>
  <c r="BY61" i="2"/>
  <c r="AS61" i="2"/>
  <c r="M61" i="2"/>
  <c r="AN23" i="2"/>
  <c r="AZ23" i="2"/>
  <c r="AU23" i="2"/>
  <c r="BO23" i="2"/>
  <c r="CL23" i="2"/>
  <c r="BF23" i="2"/>
  <c r="Z23" i="2"/>
  <c r="BU23" i="2"/>
  <c r="AO23" i="2"/>
  <c r="CF39" i="2"/>
  <c r="BJ39" i="2"/>
  <c r="CD39" i="2"/>
  <c r="R39" i="2"/>
  <c r="BK39" i="2"/>
  <c r="AE39" i="2"/>
  <c r="CC39" i="2"/>
  <c r="AW39" i="2"/>
  <c r="Q39" i="2"/>
  <c r="AY13" i="2"/>
  <c r="M13" i="2"/>
  <c r="CC13" i="2"/>
  <c r="Q13" i="2"/>
  <c r="AE13" i="2"/>
  <c r="BP13" i="2"/>
  <c r="AJ13" i="2"/>
  <c r="CH13" i="2"/>
  <c r="BB13" i="2"/>
  <c r="V13" i="2"/>
  <c r="BU9" i="2"/>
  <c r="AW9" i="2"/>
  <c r="CG9" i="2"/>
  <c r="U9" i="2"/>
  <c r="AQ9" i="2"/>
  <c r="BX9" i="2"/>
  <c r="AR9" i="2"/>
  <c r="L9" i="2"/>
  <c r="BJ9" i="2"/>
  <c r="AD9" i="2"/>
  <c r="BA38" i="2"/>
  <c r="AU38" i="2"/>
  <c r="J123" i="1"/>
  <c r="I57" i="1"/>
  <c r="BC30" i="2"/>
  <c r="AO25" i="2"/>
  <c r="BS32" i="2"/>
  <c r="CE40" i="2"/>
  <c r="S36" i="2"/>
  <c r="BG19" i="2"/>
  <c r="S57" i="2"/>
  <c r="BG17" i="2"/>
  <c r="AU53" i="2"/>
  <c r="BC10" i="2"/>
  <c r="BC16" i="2"/>
  <c r="N16" i="2"/>
  <c r="BE59" i="2"/>
  <c r="CM24" i="2"/>
  <c r="AO24" i="2"/>
  <c r="BT60" i="2"/>
  <c r="CK50" i="2"/>
  <c r="BL50" i="2"/>
  <c r="R50" i="2"/>
  <c r="CM63" i="2"/>
  <c r="AN37" i="2"/>
  <c r="Q37" i="2"/>
  <c r="AT35" i="2"/>
  <c r="BA35" i="2"/>
  <c r="I126" i="1"/>
  <c r="P64" i="2"/>
  <c r="AT21" i="2"/>
  <c r="BT21" i="2"/>
  <c r="AA21" i="2"/>
  <c r="CJ18" i="2"/>
  <c r="AI18" i="2"/>
  <c r="AD18" i="2"/>
  <c r="CJ41" i="2"/>
  <c r="AS41" i="2"/>
  <c r="AM41" i="2"/>
  <c r="CL33" i="2"/>
  <c r="CI33" i="2"/>
  <c r="CC33" i="2"/>
  <c r="AH65" i="2"/>
  <c r="S65" i="2"/>
  <c r="M65" i="2"/>
  <c r="BL8" i="2"/>
  <c r="AB8" i="2"/>
  <c r="M8" i="2"/>
  <c r="K8" i="2"/>
  <c r="AM28" i="2"/>
  <c r="BH28" i="2"/>
  <c r="BF28" i="2"/>
  <c r="CF54" i="2"/>
  <c r="AR54" i="2"/>
  <c r="AH54" i="2"/>
  <c r="AO44" i="2"/>
  <c r="BV44" i="2"/>
  <c r="CB44" i="2"/>
  <c r="P44" i="2"/>
  <c r="S42" i="2"/>
  <c r="BT42" i="2"/>
  <c r="CL42" i="2"/>
  <c r="Z42" i="2"/>
  <c r="CE61" i="2"/>
  <c r="S61" i="2"/>
  <c r="AK61" i="2"/>
  <c r="BH23" i="2"/>
  <c r="AE23" i="2"/>
  <c r="CD23" i="2"/>
  <c r="R23" i="2"/>
  <c r="AG23" i="2"/>
  <c r="AT39" i="2"/>
  <c r="CI39" i="2"/>
  <c r="W39" i="2"/>
  <c r="AO39" i="2"/>
  <c r="BO13" i="2"/>
  <c r="BM13" i="2"/>
  <c r="O13" i="2"/>
  <c r="AB13" i="2"/>
  <c r="AT13" i="2"/>
  <c r="CK9" i="2"/>
  <c r="BK9" i="2"/>
  <c r="M9" i="2"/>
  <c r="CJ9" i="2"/>
  <c r="AJ9" i="2"/>
  <c r="BR9" i="2"/>
  <c r="N9" i="2"/>
  <c r="AM38" i="2"/>
  <c r="AI38" i="2"/>
  <c r="BL38" i="2"/>
  <c r="T38" i="2"/>
  <c r="BF38" i="2"/>
  <c r="R38" i="2"/>
  <c r="AZ49" i="2"/>
  <c r="AV49" i="2"/>
  <c r="BQ49" i="2"/>
  <c r="Y49" i="2"/>
  <c r="BK49" i="2"/>
  <c r="W49" i="2"/>
  <c r="BV43" i="2"/>
  <c r="BJ43" i="2"/>
  <c r="CA43" i="2"/>
  <c r="AI43" i="2"/>
  <c r="BU43" i="2"/>
  <c r="AG43" i="2"/>
  <c r="AR55" i="2"/>
  <c r="BI55" i="2"/>
  <c r="S55" i="2"/>
  <c r="BG55" i="2"/>
  <c r="V55" i="2"/>
  <c r="BS11" i="2"/>
  <c r="AU11" i="2"/>
  <c r="CE11" i="2"/>
  <c r="K11" i="2"/>
  <c r="Y11" i="2"/>
  <c r="BF11" i="2"/>
  <c r="V11" i="2"/>
  <c r="BL11" i="2"/>
  <c r="AB11" i="2"/>
  <c r="BI62" i="2"/>
  <c r="CD62" i="2"/>
  <c r="AT62" i="2"/>
  <c r="CF62" i="2"/>
  <c r="AV62" i="2"/>
  <c r="L62" i="2"/>
  <c r="BR27" i="2"/>
  <c r="AV27" i="2"/>
  <c r="AZ27" i="2"/>
  <c r="BU27" i="2"/>
  <c r="AG27" i="2"/>
  <c r="BW27" i="2"/>
  <c r="AM27" i="2"/>
  <c r="R27" i="2"/>
  <c r="Y67" i="2"/>
  <c r="AP31" i="2"/>
  <c r="BP31" i="2"/>
  <c r="BT31" i="2"/>
  <c r="CG31" i="2"/>
  <c r="AW31" i="2"/>
  <c r="M31" i="2"/>
  <c r="BG31" i="2"/>
  <c r="W31" i="2"/>
  <c r="BC34" i="2"/>
  <c r="BU34" i="2"/>
  <c r="BY34" i="2"/>
  <c r="CL34" i="2"/>
  <c r="BB34" i="2"/>
  <c r="R34" i="2"/>
  <c r="BH34" i="2"/>
  <c r="X34" i="2"/>
  <c r="BV14" i="2"/>
  <c r="AO14" i="2"/>
  <c r="AB14" i="2"/>
  <c r="Z14" i="2"/>
  <c r="BD14" i="2"/>
  <c r="CM14" i="2"/>
  <c r="BC14" i="2"/>
  <c r="AA14" i="2"/>
  <c r="M14" i="2"/>
  <c r="BE15" i="2"/>
  <c r="BD15" i="2"/>
  <c r="AS15" i="2"/>
  <c r="BH15" i="2"/>
  <c r="CI15" i="2"/>
  <c r="BC15" i="2"/>
  <c r="W15" i="2"/>
  <c r="BV15" i="2"/>
  <c r="AP15" i="2"/>
  <c r="I44" i="1"/>
  <c r="CA46" i="2"/>
  <c r="O46" i="2"/>
  <c r="AI46" i="2"/>
  <c r="BT46" i="2"/>
  <c r="AN46" i="2"/>
  <c r="CL46" i="2"/>
  <c r="BF46" i="2"/>
  <c r="Z46" i="2"/>
  <c r="L47" i="2"/>
  <c r="AD47" i="2"/>
  <c r="AX47" i="2"/>
  <c r="CA47" i="2"/>
  <c r="AU47" i="2"/>
  <c r="O47" i="2"/>
  <c r="BM47" i="2"/>
  <c r="AG47" i="2"/>
  <c r="BM22" i="2"/>
  <c r="BI22" i="2"/>
  <c r="U22" i="2"/>
  <c r="AF22" i="2"/>
  <c r="AR22" i="2"/>
  <c r="CA22" i="2"/>
  <c r="AU22" i="2"/>
  <c r="O22" i="2"/>
  <c r="BN22" i="2"/>
  <c r="AH22" i="2"/>
  <c r="CC58" i="2"/>
  <c r="Q58" i="2"/>
  <c r="BJ58" i="2"/>
  <c r="AD58" i="2"/>
  <c r="BX58" i="2"/>
  <c r="AR58" i="2"/>
  <c r="L58" i="2"/>
  <c r="BY48" i="2"/>
  <c r="M48" i="2"/>
  <c r="AG48" i="2"/>
  <c r="BR48" i="2"/>
  <c r="AL48" i="2"/>
  <c r="CF48" i="2"/>
  <c r="AZ48" i="2"/>
  <c r="T48" i="2"/>
  <c r="CA52" i="2"/>
  <c r="AQ52" i="2"/>
  <c r="AX72" i="2"/>
  <c r="BX72" i="2"/>
  <c r="AR72" i="2"/>
  <c r="L72" i="2"/>
  <c r="BK72" i="2"/>
  <c r="AE72" i="2"/>
  <c r="BR72" i="2"/>
  <c r="CK72" i="2"/>
  <c r="BE72" i="2"/>
  <c r="Y72" i="2"/>
  <c r="X29" i="2"/>
  <c r="T51" i="2"/>
  <c r="AR51" i="2"/>
  <c r="BK30" i="2"/>
  <c r="AU66" i="2"/>
  <c r="BW66" i="2"/>
  <c r="M66" i="2"/>
  <c r="AQ66" i="2"/>
  <c r="BT66" i="2"/>
  <c r="CK71" i="2"/>
  <c r="BE71" i="2"/>
  <c r="Y71" i="2"/>
  <c r="BT71" i="2"/>
  <c r="AN71" i="2"/>
  <c r="CM71" i="2"/>
  <c r="BG71" i="2"/>
  <c r="AA71" i="2"/>
  <c r="BZ71" i="2"/>
  <c r="AT71" i="2"/>
  <c r="N71" i="2"/>
  <c r="BB45" i="2"/>
  <c r="BU26" i="2"/>
  <c r="BI32" i="2"/>
  <c r="O40" i="2"/>
  <c r="BS40" i="2"/>
  <c r="CA36" i="2"/>
  <c r="W36" i="2"/>
  <c r="AG56" i="2"/>
  <c r="AU56" i="2"/>
  <c r="BI56" i="2"/>
  <c r="CB57" i="2"/>
  <c r="P57" i="2"/>
  <c r="AD57" i="2"/>
  <c r="AR57" i="2"/>
  <c r="AH53" i="2"/>
  <c r="BT6" i="2"/>
  <c r="R52" i="2"/>
  <c r="AD30" i="2"/>
  <c r="AU25" i="2"/>
  <c r="L32" i="2"/>
  <c r="CD40" i="2"/>
  <c r="AY56" i="2"/>
  <c r="CL19" i="2"/>
  <c r="AG57" i="2"/>
  <c r="M17" i="2"/>
  <c r="CJ10" i="2"/>
  <c r="K10" i="2"/>
  <c r="AB16" i="2"/>
  <c r="BA16" i="2"/>
  <c r="U59" i="2"/>
  <c r="S24" i="2"/>
  <c r="CB24" i="2"/>
  <c r="AJ60" i="2"/>
  <c r="BW50" i="2"/>
  <c r="AJ50" i="2"/>
  <c r="AR63" i="2"/>
  <c r="BK63" i="2"/>
  <c r="BH37" i="2"/>
  <c r="BS37" i="2"/>
  <c r="BD35" i="2"/>
  <c r="Y35" i="2"/>
  <c r="BG64" i="2"/>
  <c r="BR64" i="2"/>
  <c r="V21" i="2"/>
  <c r="AR21" i="2"/>
  <c r="BY18" i="2"/>
  <c r="AF18" i="2"/>
  <c r="S18" i="2"/>
  <c r="N18" i="2"/>
  <c r="BD41" i="2"/>
  <c r="AC41" i="2"/>
  <c r="W41" i="2"/>
  <c r="BF33" i="2"/>
  <c r="BS33" i="2"/>
  <c r="BM33" i="2"/>
  <c r="CI65" i="2"/>
  <c r="CG65" i="2"/>
  <c r="I104" i="1"/>
  <c r="CH8" i="2"/>
  <c r="CG8" i="2"/>
  <c r="CA8" i="2"/>
  <c r="Y28" i="2"/>
  <c r="CM28" i="2"/>
  <c r="AR28" i="2"/>
  <c r="AP28" i="2"/>
  <c r="BK54" i="2"/>
  <c r="W54" i="2"/>
  <c r="V54" i="2"/>
  <c r="Q44" i="2"/>
  <c r="BF44" i="2"/>
  <c r="BP44" i="2"/>
  <c r="BM42" i="2"/>
  <c r="CA42" i="2"/>
  <c r="BH42" i="2"/>
  <c r="BZ42" i="2"/>
  <c r="N42" i="2"/>
  <c r="BS61" i="2"/>
  <c r="CK61" i="2"/>
  <c r="Y61" i="2"/>
  <c r="L23" i="2"/>
  <c r="CM23" i="2"/>
  <c r="BR23" i="2"/>
  <c r="CG23" i="2"/>
  <c r="U23" i="2"/>
  <c r="V39" i="2"/>
  <c r="BW39" i="2"/>
  <c r="K39" i="2"/>
  <c r="AC39" i="2"/>
  <c r="BI13" i="2"/>
  <c r="AO13" i="2"/>
  <c r="CB13" i="2"/>
  <c r="P13" i="2"/>
  <c r="AL13" i="2"/>
  <c r="CI9" i="2"/>
  <c r="AU9" i="2"/>
  <c r="CM9" i="2"/>
  <c r="CF9" i="2"/>
  <c r="AB9" i="2"/>
  <c r="BF9" i="2"/>
  <c r="I38" i="1"/>
  <c r="AE38" i="2"/>
  <c r="AA38" i="2"/>
  <c r="BD38" i="2"/>
  <c r="P38" i="2"/>
  <c r="BB38" i="2"/>
  <c r="CL49" i="2"/>
  <c r="AR49" i="2"/>
  <c r="AN49" i="2"/>
  <c r="BI49" i="2"/>
  <c r="U49" i="2"/>
  <c r="BG49" i="2"/>
  <c r="O49" i="2"/>
  <c r="BN43" i="2"/>
  <c r="BB43" i="2"/>
  <c r="BS43" i="2"/>
  <c r="AE43" i="2"/>
  <c r="BQ43" i="2"/>
  <c r="Y43" i="2"/>
  <c r="AJ55" i="2"/>
  <c r="BE55" i="2"/>
  <c r="CM55" i="2"/>
  <c r="BC55" i="2"/>
  <c r="P55" i="2"/>
  <c r="AM11" i="2"/>
  <c r="AE11" i="2"/>
  <c r="BW11" i="2"/>
  <c r="CK11" i="2"/>
  <c r="CL11" i="2"/>
  <c r="BB11" i="2"/>
  <c r="R11" i="2"/>
  <c r="BH11" i="2"/>
  <c r="X11" i="2"/>
  <c r="BA62" i="2"/>
  <c r="BZ62" i="2"/>
  <c r="AL62" i="2"/>
  <c r="CB62" i="2"/>
  <c r="AR62" i="2"/>
  <c r="I117" i="1"/>
  <c r="BB27" i="2"/>
  <c r="AN27" i="2"/>
  <c r="AR27" i="2"/>
  <c r="BM27" i="2"/>
  <c r="AB27" i="2"/>
  <c r="BS27" i="2"/>
  <c r="AI27" i="2"/>
  <c r="N27" i="2"/>
  <c r="U67" i="2"/>
  <c r="Z31" i="2"/>
  <c r="AZ31" i="2"/>
  <c r="BL31" i="2"/>
  <c r="CC31" i="2"/>
  <c r="AS31" i="2"/>
  <c r="CM31" i="2"/>
  <c r="BC31" i="2"/>
  <c r="S31" i="2"/>
  <c r="W34" i="2"/>
  <c r="BM34" i="2"/>
  <c r="BQ34" i="2"/>
  <c r="CH34" i="2"/>
  <c r="AX34" i="2"/>
  <c r="N34" i="2"/>
  <c r="BD34" i="2"/>
  <c r="P34" i="2"/>
  <c r="AP14" i="2"/>
  <c r="R14" i="2"/>
  <c r="L14" i="2"/>
  <c r="CJ14" i="2"/>
  <c r="AZ14" i="2"/>
  <c r="CI14" i="2"/>
  <c r="AU14" i="2"/>
  <c r="W14" i="2"/>
  <c r="I43" i="1"/>
  <c r="Y15" i="2"/>
  <c r="AN15" i="2"/>
  <c r="AK15" i="2"/>
  <c r="AZ15" i="2"/>
  <c r="CE15" i="2"/>
  <c r="AY15" i="2"/>
  <c r="S15" i="2"/>
  <c r="BR15" i="2"/>
  <c r="AL15" i="2"/>
  <c r="I111" i="1"/>
  <c r="BS46" i="2"/>
  <c r="CM46" i="2"/>
  <c r="AA46" i="2"/>
  <c r="BP46" i="2"/>
  <c r="AJ46" i="2"/>
  <c r="CH46" i="2"/>
  <c r="BB46" i="2"/>
  <c r="V46" i="2"/>
  <c r="CH47" i="2"/>
  <c r="V47" i="2"/>
  <c r="AP47" i="2"/>
  <c r="BW47" i="2"/>
  <c r="AQ47" i="2"/>
  <c r="K47" i="2"/>
  <c r="BI47" i="2"/>
  <c r="AC47" i="2"/>
  <c r="AG22" i="2"/>
  <c r="AS22" i="2"/>
  <c r="CJ22" i="2"/>
  <c r="X22" i="2"/>
  <c r="AJ22" i="2"/>
  <c r="BW22" i="2"/>
  <c r="AQ22" i="2"/>
  <c r="K22" i="2"/>
  <c r="BJ22" i="2"/>
  <c r="AD22" i="2"/>
  <c r="BU58" i="2"/>
  <c r="CL58" i="2"/>
  <c r="BF58" i="2"/>
  <c r="Z58" i="2"/>
  <c r="BT58" i="2"/>
  <c r="AN58" i="2"/>
  <c r="CM48" i="2"/>
  <c r="BQ48" i="2"/>
  <c r="CK48" i="2"/>
  <c r="Y48" i="2"/>
  <c r="BN48" i="2"/>
  <c r="AH48" i="2"/>
  <c r="CB48" i="2"/>
  <c r="AV48" i="2"/>
  <c r="P48" i="2"/>
  <c r="BK52" i="2"/>
  <c r="AA52" i="2"/>
  <c r="AP72" i="2"/>
  <c r="BT72" i="2"/>
  <c r="AN72" i="2"/>
  <c r="CM72" i="2"/>
  <c r="BG72" i="2"/>
  <c r="AA72" i="2"/>
  <c r="BJ72" i="2"/>
  <c r="CG72" i="2"/>
  <c r="BA72" i="2"/>
  <c r="U72" i="2"/>
  <c r="CB29" i="2"/>
  <c r="CB51" i="2"/>
  <c r="AB51" i="2"/>
  <c r="AE30" i="2"/>
  <c r="AM66" i="2"/>
  <c r="BQ66" i="2"/>
  <c r="CK66" i="2"/>
  <c r="AI66" i="2"/>
  <c r="BM66" i="2"/>
  <c r="CG71" i="2"/>
  <c r="BA71" i="2"/>
  <c r="U71" i="2"/>
  <c r="BP71" i="2"/>
  <c r="AJ71" i="2"/>
  <c r="CI71" i="2"/>
  <c r="BC71" i="2"/>
  <c r="W71" i="2"/>
  <c r="BV71" i="2"/>
  <c r="AP71" i="2"/>
  <c r="CL45" i="2"/>
  <c r="AL45" i="2"/>
  <c r="AS26" i="2"/>
  <c r="AC32" i="2"/>
  <c r="CM40" i="2"/>
  <c r="BC40" i="2"/>
  <c r="BK36" i="2"/>
  <c r="CK56" i="2"/>
  <c r="Y56" i="2"/>
  <c r="AM56" i="2"/>
  <c r="BA56" i="2"/>
  <c r="BT57" i="2"/>
  <c r="K90" i="1"/>
  <c r="M37" i="1"/>
  <c r="BK12" i="2"/>
  <c r="T66" i="2"/>
  <c r="AJ26" i="2"/>
  <c r="BK20" i="2"/>
  <c r="AF40" i="2"/>
  <c r="X56" i="2"/>
  <c r="CC19" i="2"/>
  <c r="BF17" i="2"/>
  <c r="CJ53" i="2"/>
  <c r="AD10" i="2"/>
  <c r="AO10" i="2"/>
  <c r="AA16" i="2"/>
  <c r="M16" i="2"/>
  <c r="BG59" i="2"/>
  <c r="CL24" i="2"/>
  <c r="AN24" i="2"/>
  <c r="BZ60" i="2"/>
  <c r="K50" i="2"/>
  <c r="CH50" i="2"/>
  <c r="BY63" i="2"/>
  <c r="AE63" i="2"/>
  <c r="CG37" i="2"/>
  <c r="AM37" i="2"/>
  <c r="BP35" i="2"/>
  <c r="BW35" i="2"/>
  <c r="CF64" i="2"/>
  <c r="AL64" i="2"/>
  <c r="AG21" i="2"/>
  <c r="L21" i="2"/>
  <c r="AG18" i="2"/>
  <c r="CE18" i="2"/>
  <c r="BZ18" i="2"/>
  <c r="AH41" i="2"/>
  <c r="P41" i="2"/>
  <c r="CI41" i="2"/>
  <c r="BP33" i="2"/>
  <c r="R33" i="2"/>
  <c r="AU33" i="2"/>
  <c r="AS33" i="2"/>
  <c r="BO65" i="2"/>
  <c r="BI65" i="2"/>
  <c r="Z8" i="2"/>
  <c r="AT8" i="2"/>
  <c r="BI8" i="2"/>
  <c r="BG8" i="2"/>
  <c r="M28" i="2"/>
  <c r="AQ28" i="2"/>
  <c r="X28" i="2"/>
  <c r="V28" i="2"/>
  <c r="AE54" i="2"/>
  <c r="CD54" i="2"/>
  <c r="BK44" i="2"/>
  <c r="BA44" i="2"/>
  <c r="AP44" i="2"/>
  <c r="AZ44" i="2"/>
  <c r="CM42" i="2"/>
  <c r="AU42" i="2"/>
  <c r="AR42" i="2"/>
  <c r="BJ42" i="2"/>
  <c r="BJ61" i="2"/>
  <c r="BC61" i="2"/>
  <c r="BU61" i="2"/>
  <c r="AV23" i="2"/>
  <c r="AJ23" i="2"/>
  <c r="BG23" i="2"/>
  <c r="BB23" i="2"/>
  <c r="BQ23" i="2"/>
  <c r="BP39" i="2"/>
  <c r="BV39" i="2"/>
  <c r="BG39" i="2"/>
  <c r="BY39" i="2"/>
  <c r="M39" i="2"/>
  <c r="CM13" i="2"/>
  <c r="CI13" i="2"/>
  <c r="BL13" i="2"/>
  <c r="CD13" i="2"/>
  <c r="AD13" i="2"/>
  <c r="BS9" i="2"/>
  <c r="BY9" i="2"/>
  <c r="BO9" i="2"/>
  <c r="BP9" i="2"/>
  <c r="T9" i="2"/>
  <c r="AT9" i="2"/>
  <c r="AK38" i="2"/>
  <c r="CM38" i="2"/>
  <c r="CJ38" i="2"/>
  <c r="AV38" i="2"/>
  <c r="CH38" i="2"/>
  <c r="AP38" i="2"/>
  <c r="BF49" i="2"/>
  <c r="T49" i="2"/>
  <c r="P49" i="2"/>
  <c r="BA49" i="2"/>
  <c r="CM49" i="2"/>
  <c r="AU49" i="2"/>
  <c r="CB43" i="2"/>
  <c r="AP43" i="2"/>
  <c r="AD43" i="2"/>
  <c r="BK43" i="2"/>
  <c r="S43" i="2"/>
  <c r="BE43" i="2"/>
  <c r="Q43" i="2"/>
  <c r="CK55" i="2"/>
  <c r="AS55" i="2"/>
  <c r="CE55" i="2"/>
  <c r="AU55" i="2"/>
  <c r="Y55" i="2"/>
  <c r="BA11" i="2"/>
  <c r="BY11" i="2"/>
  <c r="AY11" i="2"/>
  <c r="BM11" i="2"/>
  <c r="CD11" i="2"/>
  <c r="AT11" i="2"/>
  <c r="CJ11" i="2"/>
  <c r="AZ11" i="2"/>
  <c r="P11" i="2"/>
  <c r="AC62" i="2"/>
  <c r="BN62" i="2"/>
  <c r="AD62" i="2"/>
  <c r="BT62" i="2"/>
  <c r="AJ62" i="2"/>
  <c r="AP27" i="2"/>
  <c r="S27" i="2"/>
  <c r="K27" i="2"/>
  <c r="P27" i="2"/>
  <c r="BE27" i="2"/>
  <c r="Q27" i="2"/>
  <c r="BK27" i="2"/>
  <c r="Y27" i="2"/>
  <c r="AW67" i="2"/>
  <c r="BR31" i="2"/>
  <c r="AX31" i="2"/>
  <c r="AJ31" i="2"/>
  <c r="AV31" i="2"/>
  <c r="BU31" i="2"/>
  <c r="AK31" i="2"/>
  <c r="CE31" i="2"/>
  <c r="AQ31" i="2"/>
  <c r="CE34" i="2"/>
  <c r="BK34" i="2"/>
  <c r="AW34" i="2"/>
  <c r="BA34" i="2"/>
  <c r="BZ34" i="2"/>
  <c r="AP34" i="2"/>
  <c r="CB34" i="2"/>
  <c r="AR34" i="2"/>
  <c r="BN14" i="2"/>
  <c r="BM14" i="2"/>
  <c r="BZ14" i="2"/>
  <c r="BY14" i="2"/>
  <c r="CB14" i="2"/>
  <c r="AN14" i="2"/>
  <c r="BW14" i="2"/>
  <c r="AM14" i="2"/>
  <c r="O14" i="2"/>
  <c r="AW15" i="2"/>
  <c r="BL15" i="2"/>
  <c r="CG15" i="2"/>
  <c r="U15" i="2"/>
  <c r="AJ15" i="2"/>
  <c r="BW15" i="2"/>
  <c r="AQ15" i="2"/>
  <c r="M116" i="1"/>
  <c r="M103" i="1"/>
  <c r="AN29" i="2"/>
  <c r="BT45" i="2"/>
  <c r="BW26" i="2"/>
  <c r="BS20" i="2"/>
  <c r="L40" i="2"/>
  <c r="CH56" i="2"/>
  <c r="BQ19" i="2"/>
  <c r="BQ17" i="2"/>
  <c r="AZ53" i="2"/>
  <c r="BX10" i="2"/>
  <c r="AK10" i="2"/>
  <c r="S16" i="2"/>
  <c r="I116" i="1"/>
  <c r="BC59" i="2"/>
  <c r="CD24" i="2"/>
  <c r="AJ24" i="2"/>
  <c r="BV60" i="2"/>
  <c r="CI50" i="2"/>
  <c r="CD50" i="2"/>
  <c r="BU63" i="2"/>
  <c r="AA63" i="2"/>
  <c r="CC37" i="2"/>
  <c r="AI37" i="2"/>
  <c r="BH35" i="2"/>
  <c r="BS35" i="2"/>
  <c r="CB64" i="2"/>
  <c r="AH64" i="2"/>
  <c r="Y21" i="2"/>
  <c r="CM21" i="2"/>
  <c r="Q18" i="2"/>
  <c r="BW18" i="2"/>
  <c r="BV18" i="2"/>
  <c r="R41" i="2"/>
  <c r="CG41" i="2"/>
  <c r="CE41" i="2"/>
  <c r="AJ33" i="2"/>
  <c r="BZ33" i="2"/>
  <c r="AQ33" i="2"/>
  <c r="AO33" i="2"/>
  <c r="BG65" i="2"/>
  <c r="BE65" i="2"/>
  <c r="BT8" i="2"/>
  <c r="AD8" i="2"/>
  <c r="BE8" i="2"/>
  <c r="BC8" i="2"/>
  <c r="BQ28" i="2"/>
  <c r="AI28" i="2"/>
  <c r="T28" i="2"/>
  <c r="N28" i="2"/>
  <c r="Y54" i="2"/>
  <c r="BZ54" i="2"/>
  <c r="AU44" i="2"/>
  <c r="AS44" i="2"/>
  <c r="AL44" i="2"/>
  <c r="AV44" i="2"/>
  <c r="CE42" i="2"/>
  <c r="AM42" i="2"/>
  <c r="AN42" i="2"/>
  <c r="BF42" i="2"/>
  <c r="BB61" i="2"/>
  <c r="AY61" i="2"/>
  <c r="BQ61" i="2"/>
  <c r="CB23" i="2"/>
  <c r="T23" i="2"/>
  <c r="AY23" i="2"/>
  <c r="AX23" i="2"/>
  <c r="BM23" i="2"/>
  <c r="AZ39" i="2"/>
  <c r="BN39" i="2"/>
  <c r="BC39" i="2"/>
  <c r="BU39" i="2"/>
  <c r="BA13" i="2"/>
  <c r="BW13" i="2"/>
  <c r="CA13" i="2"/>
  <c r="BH13" i="2"/>
  <c r="BZ13" i="2"/>
  <c r="R13" i="2"/>
  <c r="AM9" i="2"/>
  <c r="BQ9" i="2"/>
  <c r="BG9" i="2"/>
  <c r="BH9" i="2"/>
  <c r="CL9" i="2"/>
  <c r="AP9" i="2"/>
  <c r="U38" i="2"/>
  <c r="CE38" i="2"/>
  <c r="CF38" i="2"/>
  <c r="AN38" i="2"/>
  <c r="CD38" i="2"/>
  <c r="AL38" i="2"/>
  <c r="Z49" i="2"/>
  <c r="L49" i="2"/>
  <c r="CK49" i="2"/>
  <c r="AS49" i="2"/>
  <c r="CI49" i="2"/>
  <c r="AQ49" i="2"/>
  <c r="AV43" i="2"/>
  <c r="AH43" i="2"/>
  <c r="V43" i="2"/>
  <c r="BC43" i="2"/>
  <c r="O43" i="2"/>
  <c r="BA43" i="2"/>
  <c r="CF55" i="2"/>
  <c r="CG55" i="2"/>
  <c r="AO55" i="2"/>
  <c r="CA55" i="2"/>
  <c r="AQ55" i="2"/>
  <c r="U55" i="2"/>
  <c r="U11" i="2"/>
  <c r="AS11" i="2"/>
  <c r="AQ11" i="2"/>
  <c r="BE11" i="2"/>
  <c r="BZ11" i="2"/>
  <c r="AP11" i="2"/>
  <c r="CF11" i="2"/>
  <c r="AV11" i="2"/>
  <c r="I40" i="1"/>
  <c r="U62" i="2"/>
  <c r="BJ62" i="2"/>
  <c r="Z62" i="2"/>
  <c r="BP62" i="2"/>
  <c r="AF62" i="2"/>
  <c r="BZ27" i="2"/>
  <c r="CB27" i="2"/>
  <c r="CF27" i="2"/>
  <c r="CK27" i="2"/>
  <c r="BA27" i="2"/>
  <c r="L27" i="2"/>
  <c r="BG27" i="2"/>
  <c r="T27" i="2"/>
  <c r="AO67" i="2"/>
  <c r="AL31" i="2"/>
  <c r="AH31" i="2"/>
  <c r="AB31" i="2"/>
  <c r="AN31" i="2"/>
  <c r="BQ31" i="2"/>
  <c r="AG31" i="2"/>
  <c r="BW31" i="2"/>
  <c r="AM31" i="2"/>
  <c r="AY34" i="2"/>
  <c r="AU34" i="2"/>
  <c r="AO34" i="2"/>
  <c r="AS34" i="2"/>
  <c r="BV34" i="2"/>
  <c r="AH34" i="2"/>
  <c r="BX34" i="2"/>
  <c r="AN34" i="2"/>
  <c r="CD14" i="2"/>
  <c r="AW14" i="2"/>
  <c r="BR14" i="2"/>
  <c r="BQ14" i="2"/>
  <c r="BT14" i="2"/>
  <c r="AJ14" i="2"/>
  <c r="BS14" i="2"/>
  <c r="AI14" i="2"/>
  <c r="K14" i="2"/>
  <c r="BM15" i="2"/>
  <c r="AV15" i="2"/>
  <c r="BY15" i="2"/>
  <c r="M15" i="2"/>
  <c r="AB15" i="2"/>
  <c r="BS15" i="2"/>
  <c r="AM15" i="2"/>
  <c r="CL15" i="2"/>
  <c r="BF15" i="2"/>
  <c r="Z15" i="2"/>
  <c r="AS46" i="2"/>
  <c r="AU46" i="2"/>
  <c r="BO46" i="2"/>
  <c r="CJ46" i="2"/>
  <c r="BD46" i="2"/>
  <c r="X46" i="2"/>
  <c r="BV46" i="2"/>
  <c r="AP46" i="2"/>
  <c r="BX47" i="2"/>
  <c r="BJ47" i="2"/>
  <c r="CD47" i="2"/>
  <c r="R47" i="2"/>
  <c r="BK47" i="2"/>
  <c r="AE47" i="2"/>
  <c r="CC47" i="2"/>
  <c r="AW47" i="2"/>
  <c r="Q47" i="2"/>
  <c r="CK22" i="2"/>
  <c r="CG22" i="2"/>
  <c r="BL22" i="2"/>
  <c r="BX22" i="2"/>
  <c r="L22" i="2"/>
  <c r="BK22" i="2"/>
  <c r="AE22" i="2"/>
  <c r="CD22" i="2"/>
  <c r="AX22" i="2"/>
  <c r="R22" i="2"/>
  <c r="AW58" i="2"/>
  <c r="BZ58" i="2"/>
  <c r="AT58" i="2"/>
  <c r="N58" i="2"/>
  <c r="BH58" i="2"/>
  <c r="AB58" i="2"/>
  <c r="AQ48" i="2"/>
  <c r="AS48" i="2"/>
  <c r="BM48" i="2"/>
  <c r="CH48" i="2"/>
  <c r="BB48" i="2"/>
  <c r="V48" i="2"/>
  <c r="BP48" i="2"/>
  <c r="AJ48" i="2"/>
  <c r="BO52" i="2"/>
  <c r="O52" i="2"/>
  <c r="CD72" i="2"/>
  <c r="R72" i="2"/>
  <c r="BH72" i="2"/>
  <c r="AB72" i="2"/>
  <c r="CA72" i="2"/>
  <c r="AU72" i="2"/>
  <c r="O72" i="2"/>
  <c r="AL72" i="2"/>
  <c r="BU72" i="2"/>
  <c r="AO72" i="2"/>
  <c r="BL29" i="2"/>
  <c r="CF51" i="2"/>
  <c r="AF51" i="2"/>
  <c r="AU30" i="2"/>
  <c r="BX66" i="2"/>
  <c r="O66" i="2"/>
  <c r="AS66" i="2"/>
  <c r="BU66" i="2"/>
  <c r="K66" i="2"/>
  <c r="AO66" i="2"/>
  <c r="BU71" i="2"/>
  <c r="AO71" i="2"/>
  <c r="CJ71" i="2"/>
  <c r="BD71" i="2"/>
  <c r="X71" i="2"/>
  <c r="BW71" i="2"/>
  <c r="AQ71" i="2"/>
  <c r="K71" i="2"/>
  <c r="BJ71" i="2"/>
  <c r="AD71" i="2"/>
  <c r="AP45" i="2"/>
  <c r="BN45" i="2"/>
  <c r="AS32" i="2"/>
  <c r="CA40" i="2"/>
  <c r="AQ40" i="2"/>
  <c r="CE36" i="2"/>
  <c r="CM36" i="2"/>
  <c r="BM56" i="2"/>
  <c r="CA56" i="2"/>
  <c r="O56" i="2"/>
  <c r="AC56" i="2"/>
  <c r="AV57" i="2"/>
  <c r="BJ57" i="2"/>
  <c r="BX57" i="2"/>
  <c r="L57" i="2"/>
  <c r="BJ53" i="2"/>
  <c r="Z53" i="2"/>
  <c r="AD59" i="2"/>
  <c r="AR59" i="2"/>
  <c r="BN59" i="2"/>
  <c r="AU24" i="2"/>
  <c r="AC60" i="2"/>
  <c r="AY60" i="2"/>
  <c r="BU60" i="2"/>
  <c r="CG50" i="2"/>
  <c r="AG50" i="2"/>
  <c r="CD63" i="2"/>
  <c r="R63" i="2"/>
  <c r="AF63" i="2"/>
  <c r="AT63" i="2"/>
  <c r="AH37" i="2"/>
  <c r="BV37" i="2"/>
  <c r="AX35" i="2"/>
  <c r="BE64" i="2"/>
  <c r="BS64" i="2"/>
  <c r="CG64" i="2"/>
  <c r="U64" i="2"/>
  <c r="BJ41" i="2"/>
  <c r="Z41" i="2"/>
  <c r="CF33" i="2"/>
  <c r="BT65" i="2"/>
  <c r="CH65" i="2"/>
  <c r="V65" i="2"/>
  <c r="AJ65" i="2"/>
  <c r="CC28" i="2"/>
  <c r="BW54" i="2"/>
  <c r="BT54" i="2"/>
  <c r="BQ54" i="2"/>
  <c r="CB68" i="2"/>
  <c r="AV68" i="2"/>
  <c r="P68" i="2"/>
  <c r="BO68" i="2"/>
  <c r="AI68" i="2"/>
  <c r="CH68" i="2"/>
  <c r="BB68" i="2"/>
  <c r="V68" i="2"/>
  <c r="BQ68" i="2"/>
  <c r="AK68" i="2"/>
  <c r="BW44" i="2"/>
  <c r="AM44" i="2"/>
  <c r="BI42" i="2"/>
  <c r="Y42" i="2"/>
  <c r="BP61" i="2"/>
  <c r="CL61" i="2"/>
  <c r="Z61" i="2"/>
  <c r="AN61" i="2"/>
  <c r="AV39" i="2"/>
  <c r="CJ39" i="2"/>
  <c r="CA69" i="2"/>
  <c r="AU69" i="2"/>
  <c r="O69" i="2"/>
  <c r="BN69" i="2"/>
  <c r="AH69" i="2"/>
  <c r="CC69" i="2"/>
  <c r="AW69" i="2"/>
  <c r="Q69" i="2"/>
  <c r="BL69" i="2"/>
  <c r="AF69" i="2"/>
  <c r="AW38" i="2"/>
  <c r="CK38" i="2"/>
  <c r="AL49" i="2"/>
  <c r="BJ49" i="2"/>
  <c r="L43" i="2"/>
  <c r="AZ43" i="2"/>
  <c r="AX55" i="2"/>
  <c r="BL55" i="2"/>
  <c r="BZ55" i="2"/>
  <c r="CM62" i="2"/>
  <c r="AA62" i="2"/>
  <c r="AW62" i="2"/>
  <c r="BK62" i="2"/>
  <c r="AH27" i="2"/>
  <c r="CG67" i="2"/>
  <c r="BA67" i="2"/>
  <c r="K67" i="2"/>
  <c r="BH67" i="2"/>
  <c r="T67" i="2"/>
  <c r="BO67" i="2"/>
  <c r="AD67" i="2"/>
  <c r="BV67" i="2"/>
  <c r="AM67" i="2"/>
  <c r="CH31" i="2"/>
  <c r="K34" i="2"/>
  <c r="BE46" i="2"/>
  <c r="CC46" i="2"/>
  <c r="BZ70" i="2"/>
  <c r="AT70" i="2"/>
  <c r="N70" i="2"/>
  <c r="BI70" i="2"/>
  <c r="AC70" i="2"/>
  <c r="BX70" i="2"/>
  <c r="AR70" i="2"/>
  <c r="L70" i="2"/>
  <c r="BK70" i="2"/>
  <c r="AE70" i="2"/>
  <c r="BD47" i="2"/>
  <c r="CB47" i="2"/>
  <c r="CA58" i="2"/>
  <c r="O58" i="2"/>
  <c r="AC58" i="2"/>
  <c r="AY58" i="2"/>
  <c r="BC48" i="2"/>
  <c r="CA48" i="2"/>
  <c r="N78" i="2"/>
  <c r="V78" i="2"/>
  <c r="AD78" i="2"/>
  <c r="AL78" i="2"/>
  <c r="AT78" i="2"/>
  <c r="BB78" i="2"/>
  <c r="BJ78" i="2"/>
  <c r="BR78" i="2"/>
  <c r="BZ78" i="2"/>
  <c r="CH78" i="2"/>
  <c r="M90" i="2"/>
  <c r="U90" i="2"/>
  <c r="AC90" i="2"/>
  <c r="AK90" i="2"/>
  <c r="AS90" i="2"/>
  <c r="BA90" i="2"/>
  <c r="BI90" i="2"/>
  <c r="BQ90" i="2"/>
  <c r="BY90" i="2"/>
  <c r="CG90" i="2"/>
  <c r="L99" i="2"/>
  <c r="T99" i="2"/>
  <c r="AB99" i="2"/>
  <c r="AJ99" i="2"/>
  <c r="AR99" i="2"/>
  <c r="AZ99" i="2"/>
  <c r="BH99" i="2"/>
  <c r="BP99" i="2"/>
  <c r="AF52" i="2"/>
  <c r="O25" i="2"/>
  <c r="BJ40" i="2"/>
  <c r="BR19" i="2"/>
  <c r="I123" i="1"/>
  <c r="CK10" i="2"/>
  <c r="AW16" i="2"/>
  <c r="CH24" i="2"/>
  <c r="AF60" i="2"/>
  <c r="AF50" i="2"/>
  <c r="BG63" i="2"/>
  <c r="BO37" i="2"/>
  <c r="U35" i="2"/>
  <c r="BN64" i="2"/>
  <c r="AN21" i="2"/>
  <c r="X18" i="2"/>
  <c r="I47" i="1"/>
  <c r="U41" i="2"/>
  <c r="AX33" i="2"/>
  <c r="BI33" i="2"/>
  <c r="BY65" i="2"/>
  <c r="BZ8" i="2"/>
  <c r="BW8" i="2"/>
  <c r="BW28" i="2"/>
  <c r="AL28" i="2"/>
  <c r="Q54" i="2"/>
  <c r="BY44" i="2"/>
  <c r="BL44" i="2"/>
  <c r="BS42" i="2"/>
  <c r="BV42" i="2"/>
  <c r="BO61" i="2"/>
  <c r="U61" i="2"/>
  <c r="CE23" i="2"/>
  <c r="CC23" i="2"/>
  <c r="N39" i="2"/>
  <c r="CK39" i="2"/>
  <c r="AS13" i="2"/>
  <c r="BX13" i="2"/>
  <c r="AH13" i="2"/>
  <c r="AE9" i="2"/>
  <c r="BT9" i="2"/>
  <c r="BB9" i="2"/>
  <c r="O38" i="2"/>
  <c r="AZ38" i="2"/>
  <c r="AX38" i="2"/>
  <c r="AB49" i="2"/>
  <c r="BE49" i="2"/>
  <c r="BC49" i="2"/>
  <c r="AX43" i="2"/>
  <c r="BO43" i="2"/>
  <c r="BM43" i="2"/>
  <c r="R55" i="2"/>
  <c r="CI55" i="2"/>
  <c r="K55" i="2"/>
  <c r="O11" i="2"/>
  <c r="BU11" i="2"/>
  <c r="AX11" i="2"/>
  <c r="BD11" i="2"/>
  <c r="AS62" i="2"/>
  <c r="AH62" i="2"/>
  <c r="AN62" i="2"/>
  <c r="AL27" i="2"/>
  <c r="AA27" i="2"/>
  <c r="W27" i="2"/>
  <c r="AE27" i="2"/>
  <c r="Q67" i="2"/>
  <c r="AR31" i="2"/>
  <c r="BY31" i="2"/>
  <c r="CI31" i="2"/>
  <c r="K31" i="2"/>
  <c r="BE34" i="2"/>
  <c r="CD34" i="2"/>
  <c r="CJ34" i="2"/>
  <c r="L34" i="2"/>
  <c r="CH14" i="2"/>
  <c r="CF14" i="2"/>
  <c r="CA14" i="2"/>
  <c r="S14" i="2"/>
  <c r="CB15" i="2"/>
  <c r="AC15" i="2"/>
  <c r="CA15" i="2"/>
  <c r="O15" i="2"/>
  <c r="AX15" i="2"/>
  <c r="BI46" i="2"/>
  <c r="W46" i="2"/>
  <c r="CF46" i="2"/>
  <c r="AF46" i="2"/>
  <c r="BN46" i="2"/>
  <c r="N46" i="2"/>
  <c r="AL47" i="2"/>
  <c r="CM47" i="2"/>
  <c r="AM47" i="2"/>
  <c r="BU47" i="2"/>
  <c r="U47" i="2"/>
  <c r="BY22" i="2"/>
  <c r="BD22" i="2"/>
  <c r="AB22" i="2"/>
  <c r="BC22" i="2"/>
  <c r="CH22" i="2"/>
  <c r="AL22" i="2"/>
  <c r="AO58" i="2"/>
  <c r="BB58" i="2"/>
  <c r="CF58" i="2"/>
  <c r="AF58" i="2"/>
  <c r="CG48" i="2"/>
  <c r="BE48" i="2"/>
  <c r="BJ48" i="2"/>
  <c r="N48" i="2"/>
  <c r="AN48" i="2"/>
  <c r="S52" i="2"/>
  <c r="BV72" i="2"/>
  <c r="BP72" i="2"/>
  <c r="T72" i="2"/>
  <c r="AY72" i="2"/>
  <c r="BZ72" i="2"/>
  <c r="BQ72" i="2"/>
  <c r="Q72" i="2"/>
  <c r="AZ51" i="2"/>
  <c r="CA30" i="2"/>
  <c r="BC66" i="2"/>
  <c r="AK66" i="2"/>
  <c r="AA66" i="2"/>
  <c r="Y66" i="2"/>
  <c r="AS71" i="2"/>
  <c r="BX71" i="2"/>
  <c r="T71" i="2"/>
  <c r="AY71" i="2"/>
  <c r="CH71" i="2"/>
  <c r="AH71" i="2"/>
  <c r="BR45" i="2"/>
  <c r="M32" i="2"/>
  <c r="BW40" i="2"/>
  <c r="AY36" i="2"/>
  <c r="BU56" i="2"/>
  <c r="BC56" i="2"/>
  <c r="U56" i="2"/>
  <c r="CH57" i="2"/>
  <c r="CF57" i="2"/>
  <c r="BN53" i="2"/>
  <c r="CH53" i="2"/>
  <c r="BB59" i="2"/>
  <c r="BH59" i="2"/>
  <c r="BV59" i="2"/>
  <c r="CG60" i="2"/>
  <c r="M60" i="2"/>
  <c r="AA60" i="2"/>
  <c r="AO60" i="2"/>
  <c r="CC50" i="2"/>
  <c r="M50" i="2"/>
  <c r="Z63" i="2"/>
  <c r="X63" i="2"/>
  <c r="AD63" i="2"/>
  <c r="BJ37" i="2"/>
  <c r="CL35" i="2"/>
  <c r="CC64" i="2"/>
  <c r="CI64" i="2"/>
  <c r="O64" i="2"/>
  <c r="M64" i="2"/>
  <c r="AD41" i="2"/>
  <c r="BB41" i="2"/>
  <c r="AR33" i="2"/>
  <c r="AF65" i="2"/>
  <c r="AL65" i="2"/>
  <c r="AR65" i="2"/>
  <c r="AW28" i="2"/>
  <c r="BA54" i="2"/>
  <c r="AN54" i="2"/>
  <c r="AA54" i="2"/>
  <c r="BH68" i="2"/>
  <c r="X68" i="2"/>
  <c r="BQ5" i="2"/>
  <c r="U29" i="2"/>
  <c r="BB26" i="2"/>
  <c r="BZ36" i="2"/>
  <c r="CD57" i="2"/>
  <c r="AO53" i="2"/>
  <c r="P16" i="2"/>
  <c r="AN59" i="2"/>
  <c r="CK24" i="2"/>
  <c r="AT60" i="2"/>
  <c r="BB50" i="2"/>
  <c r="BB37" i="2"/>
  <c r="BN35" i="2"/>
  <c r="AQ35" i="2"/>
  <c r="R21" i="2"/>
  <c r="BK21" i="2"/>
  <c r="BG18" i="2"/>
  <c r="BH41" i="2"/>
  <c r="BO41" i="2"/>
  <c r="AT33" i="2"/>
  <c r="Y33" i="2"/>
  <c r="AO65" i="2"/>
  <c r="BX8" i="2"/>
  <c r="AM8" i="2"/>
  <c r="CJ28" i="2"/>
  <c r="BD54" i="2"/>
  <c r="BJ54" i="2"/>
  <c r="M44" i="2"/>
  <c r="AJ44" i="2"/>
  <c r="O42" i="2"/>
  <c r="AT42" i="2"/>
  <c r="AM61" i="2"/>
  <c r="BD23" i="2"/>
  <c r="AA23" i="2"/>
  <c r="BA23" i="2"/>
  <c r="AP39" i="2"/>
  <c r="BI39" i="2"/>
  <c r="AA13" i="2"/>
  <c r="AV13" i="2"/>
  <c r="N13" i="2"/>
  <c r="BA9" i="2"/>
  <c r="BD9" i="2"/>
  <c r="AL9" i="2"/>
  <c r="BO38" i="2"/>
  <c r="AJ38" i="2"/>
  <c r="AH38" i="2"/>
  <c r="CB49" i="2"/>
  <c r="AO49" i="2"/>
  <c r="AM49" i="2"/>
  <c r="R43" i="2"/>
  <c r="AY43" i="2"/>
  <c r="AW43" i="2"/>
  <c r="BY55" i="2"/>
  <c r="BW55" i="2"/>
  <c r="Q55" i="2"/>
  <c r="AC11" i="2"/>
  <c r="AW11" i="2"/>
  <c r="AL11" i="2"/>
  <c r="AN11" i="2"/>
  <c r="M62" i="2"/>
  <c r="V62" i="2"/>
  <c r="AB62" i="2"/>
  <c r="BT27" i="2"/>
  <c r="CG27" i="2"/>
  <c r="CM27" i="2"/>
  <c r="AD27" i="2"/>
  <c r="CL31" i="2"/>
  <c r="T31" i="2"/>
  <c r="BM31" i="2"/>
  <c r="BS31" i="2"/>
  <c r="S34" i="2"/>
  <c r="AG34" i="2"/>
  <c r="BN34" i="2"/>
  <c r="BT34" i="2"/>
  <c r="AX14" i="2"/>
  <c r="BJ14" i="2"/>
  <c r="BP14" i="2"/>
  <c r="BO14" i="2"/>
  <c r="AC14" i="2"/>
  <c r="P15" i="2"/>
  <c r="CF15" i="2"/>
  <c r="BO15" i="2"/>
  <c r="K15" i="2"/>
  <c r="AT15" i="2"/>
  <c r="AC46" i="2"/>
  <c r="CE46" i="2"/>
  <c r="CB46" i="2"/>
  <c r="AB46" i="2"/>
  <c r="BJ46" i="2"/>
  <c r="BH47" i="2"/>
  <c r="N47" i="2"/>
  <c r="CI47" i="2"/>
  <c r="AI47" i="2"/>
  <c r="BQ47" i="2"/>
  <c r="M47" i="2"/>
  <c r="AC22" i="2"/>
  <c r="AV22" i="2"/>
  <c r="T22" i="2"/>
  <c r="AY22" i="2"/>
  <c r="BZ22" i="2"/>
  <c r="Z22" i="2"/>
  <c r="AG58" i="2"/>
  <c r="AX58" i="2"/>
  <c r="CB58" i="2"/>
  <c r="X58" i="2"/>
  <c r="BI48" i="2"/>
  <c r="AW48" i="2"/>
  <c r="BF48" i="2"/>
  <c r="CJ48" i="2"/>
  <c r="AF48" i="2"/>
  <c r="AU52" i="2"/>
  <c r="BN72" i="2"/>
  <c r="BL72" i="2"/>
  <c r="P72" i="2"/>
  <c r="AQ72" i="2"/>
  <c r="BB72" i="2"/>
  <c r="BM72" i="2"/>
  <c r="M72" i="2"/>
  <c r="AJ51" i="2"/>
  <c r="O30" i="2"/>
  <c r="AE66" i="2"/>
  <c r="AC66" i="2"/>
  <c r="S66" i="2"/>
  <c r="Q66" i="2"/>
  <c r="AK71" i="2"/>
  <c r="BL71" i="2"/>
  <c r="P71" i="2"/>
  <c r="AU71" i="2"/>
  <c r="CD71" i="2"/>
  <c r="H127" i="1"/>
  <c r="I127" i="1"/>
  <c r="AH51" i="2"/>
  <c r="AH26" i="2"/>
  <c r="BF36" i="2"/>
  <c r="AP57" i="2"/>
  <c r="AC53" i="2"/>
  <c r="BD16" i="2"/>
  <c r="AF59" i="2"/>
  <c r="CG24" i="2"/>
  <c r="AP60" i="2"/>
  <c r="AX50" i="2"/>
  <c r="AL37" i="2"/>
  <c r="AH35" i="2"/>
  <c r="AM35" i="2"/>
  <c r="AX21" i="2"/>
  <c r="BG21" i="2"/>
  <c r="BC18" i="2"/>
  <c r="AR41" i="2"/>
  <c r="BK41" i="2"/>
  <c r="AL33" i="2"/>
  <c r="Q33" i="2"/>
  <c r="AK65" i="2"/>
  <c r="BP8" i="2"/>
  <c r="AE8" i="2"/>
  <c r="CF28" i="2"/>
  <c r="AS54" i="2"/>
  <c r="BB54" i="2"/>
  <c r="CL44" i="2"/>
  <c r="AF44" i="2"/>
  <c r="CJ42" i="2"/>
  <c r="AP42" i="2"/>
  <c r="AI61" i="2"/>
  <c r="X23" i="2"/>
  <c r="S23" i="2"/>
  <c r="AW23" i="2"/>
  <c r="AH39" i="2"/>
  <c r="BE39" i="2"/>
  <c r="K13" i="2"/>
  <c r="AR13" i="2"/>
  <c r="BE9" i="2"/>
  <c r="AS9" i="2"/>
  <c r="AZ9" i="2"/>
  <c r="Z9" i="2"/>
  <c r="BG38" i="2"/>
  <c r="AF38" i="2"/>
  <c r="Z38" i="2"/>
  <c r="BT49" i="2"/>
  <c r="AK49" i="2"/>
  <c r="AE49" i="2"/>
  <c r="CH43" i="2"/>
  <c r="AU43" i="2"/>
  <c r="AO43" i="2"/>
  <c r="BU55" i="2"/>
  <c r="BS55" i="2"/>
  <c r="CI11" i="2"/>
  <c r="M11" i="2"/>
  <c r="AO11" i="2"/>
  <c r="AH11" i="2"/>
  <c r="AJ11" i="2"/>
  <c r="CL62" i="2"/>
  <c r="R62" i="2"/>
  <c r="T62" i="2"/>
  <c r="BL27" i="2"/>
  <c r="CC27" i="2"/>
  <c r="CI27" i="2"/>
  <c r="Z27" i="2"/>
  <c r="BV31" i="2"/>
  <c r="L31" i="2"/>
  <c r="BE31" i="2"/>
  <c r="BO31" i="2"/>
  <c r="CI34" i="2"/>
  <c r="Y34" i="2"/>
  <c r="BJ34" i="2"/>
  <c r="BP34" i="2"/>
  <c r="CL14" i="2"/>
  <c r="AT14" i="2"/>
  <c r="BL14" i="2"/>
  <c r="BK14" i="2"/>
  <c r="Y14" i="2"/>
  <c r="CJ15" i="2"/>
  <c r="BX15" i="2"/>
  <c r="BK15" i="2"/>
  <c r="CH15" i="2"/>
  <c r="AH15" i="2"/>
  <c r="M46" i="2"/>
  <c r="BW46" i="2"/>
  <c r="BX46" i="2"/>
  <c r="T46" i="2"/>
  <c r="AX46" i="2"/>
  <c r="AR47" i="2"/>
  <c r="CL47" i="2"/>
  <c r="CE47" i="2"/>
  <c r="AA47" i="2"/>
  <c r="BE47" i="2"/>
  <c r="I121" i="1"/>
  <c r="M22" i="2"/>
  <c r="AN22" i="2"/>
  <c r="CM22" i="2"/>
  <c r="AM22" i="2"/>
  <c r="BV22" i="2"/>
  <c r="V22" i="2"/>
  <c r="Y58" i="2"/>
  <c r="AP58" i="2"/>
  <c r="BP58" i="2"/>
  <c r="T58" i="2"/>
  <c r="BA48" i="2"/>
  <c r="AO48" i="2"/>
  <c r="AX48" i="2"/>
  <c r="BX48" i="2"/>
  <c r="AB48" i="2"/>
  <c r="AE52" i="2"/>
  <c r="BF72" i="2"/>
  <c r="BD72" i="2"/>
  <c r="CI72" i="2"/>
  <c r="AM72" i="2"/>
  <c r="AT72" i="2"/>
  <c r="BI72" i="2"/>
  <c r="AF29" i="2"/>
  <c r="BL51" i="2"/>
  <c r="BS30" i="2"/>
  <c r="W66" i="2"/>
  <c r="U66" i="2"/>
  <c r="CJ66" i="2"/>
  <c r="CC71" i="2"/>
  <c r="AG71" i="2"/>
  <c r="BH71" i="2"/>
  <c r="L71" i="2"/>
  <c r="M83" i="1"/>
  <c r="BA51" i="2"/>
  <c r="AA32" i="2"/>
  <c r="AI36" i="2"/>
  <c r="AM57" i="2"/>
  <c r="BG53" i="2"/>
  <c r="BS16" i="2"/>
  <c r="BI59" i="2"/>
  <c r="AS24" i="2"/>
  <c r="N60" i="2"/>
  <c r="V50" i="2"/>
  <c r="AV37" i="2"/>
  <c r="BJ35" i="2"/>
  <c r="K35" i="2"/>
  <c r="BJ21" i="2"/>
  <c r="AE21" i="2"/>
  <c r="AM18" i="2"/>
  <c r="L41" i="2"/>
  <c r="AU41" i="2"/>
  <c r="CM33" i="2"/>
  <c r="AP65" i="2"/>
  <c r="U65" i="2"/>
  <c r="AJ8" i="2"/>
  <c r="O8" i="2"/>
  <c r="BP28" i="2"/>
  <c r="CK54" i="2"/>
  <c r="AL54" i="2"/>
  <c r="BZ44" i="2"/>
  <c r="T44" i="2"/>
  <c r="BX42" i="2"/>
  <c r="AD42" i="2"/>
  <c r="W61" i="2"/>
  <c r="BX23" i="2"/>
  <c r="CH23" i="2"/>
  <c r="AK23" i="2"/>
  <c r="CM39" i="2"/>
  <c r="AS39" i="2"/>
  <c r="BU13" i="2"/>
  <c r="AF13" i="2"/>
  <c r="Y9" i="2"/>
  <c r="AK9" i="2"/>
  <c r="AN9" i="2"/>
  <c r="V9" i="2"/>
  <c r="AY38" i="2"/>
  <c r="X38" i="2"/>
  <c r="V38" i="2"/>
  <c r="BL49" i="2"/>
  <c r="AC49" i="2"/>
  <c r="AA49" i="2"/>
  <c r="BZ43" i="2"/>
  <c r="AM43" i="2"/>
  <c r="AK43" i="2"/>
  <c r="BQ55" i="2"/>
  <c r="BO55" i="2"/>
  <c r="BC11" i="2"/>
  <c r="CM11" i="2"/>
  <c r="AG11" i="2"/>
  <c r="Z11" i="2"/>
  <c r="AF11" i="2"/>
  <c r="CH62" i="2"/>
  <c r="N62" i="2"/>
  <c r="P62" i="2"/>
  <c r="BD27" i="2"/>
  <c r="BY27" i="2"/>
  <c r="CA27" i="2"/>
  <c r="V27" i="2"/>
  <c r="BF31" i="2"/>
  <c r="CJ31" i="2"/>
  <c r="BA31" i="2"/>
  <c r="BK31" i="2"/>
  <c r="BS34" i="2"/>
  <c r="CG34" i="2"/>
  <c r="BF34" i="2"/>
  <c r="BL34" i="2"/>
  <c r="BF14" i="2"/>
  <c r="AL14" i="2"/>
  <c r="BH14" i="2"/>
  <c r="BG14" i="2"/>
  <c r="Q14" i="2"/>
  <c r="BT15" i="2"/>
  <c r="BP15" i="2"/>
  <c r="BG15" i="2"/>
  <c r="CD15" i="2"/>
  <c r="AD15" i="2"/>
  <c r="CI46" i="2"/>
  <c r="BG46" i="2"/>
  <c r="BL46" i="2"/>
  <c r="P46" i="2"/>
  <c r="AT46" i="2"/>
  <c r="AB47" i="2"/>
  <c r="BV47" i="2"/>
  <c r="BS47" i="2"/>
  <c r="W47" i="2"/>
  <c r="BA47" i="2"/>
  <c r="AW22" i="2"/>
  <c r="BQ22" i="2"/>
  <c r="P22" i="2"/>
  <c r="CI22" i="2"/>
  <c r="AI22" i="2"/>
  <c r="BR22" i="2"/>
  <c r="N22" i="2"/>
  <c r="CH58" i="2"/>
  <c r="AL58" i="2"/>
  <c r="BL58" i="2"/>
  <c r="P58" i="2"/>
  <c r="AK48" i="2"/>
  <c r="Q48" i="2"/>
  <c r="AT48" i="2"/>
  <c r="BT48" i="2"/>
  <c r="X48" i="2"/>
  <c r="CM52" i="2"/>
  <c r="AH72" i="2"/>
  <c r="AZ72" i="2"/>
  <c r="CE72" i="2"/>
  <c r="AI72" i="2"/>
  <c r="AD72" i="2"/>
  <c r="AW72" i="2"/>
  <c r="CJ29" i="2"/>
  <c r="AV51" i="2"/>
  <c r="AM30" i="2"/>
  <c r="CM66" i="2"/>
  <c r="CF66" i="2"/>
  <c r="CE66" i="2"/>
  <c r="BY71" i="2"/>
  <c r="AC71" i="2"/>
  <c r="AZ71" i="2"/>
  <c r="CE71" i="2"/>
  <c r="AI71" i="2"/>
  <c r="BN71" i="2"/>
  <c r="R71" i="2"/>
  <c r="AX45" i="2"/>
  <c r="AY20" i="2"/>
  <c r="K40" i="2"/>
  <c r="AC36" i="2"/>
  <c r="AO56" i="2"/>
  <c r="CG56" i="2"/>
  <c r="BL57" i="2"/>
  <c r="BB57" i="2"/>
  <c r="AZ57" i="2"/>
  <c r="CK53" i="2"/>
  <c r="AP53" i="2"/>
  <c r="V59" i="2"/>
  <c r="AB59" i="2"/>
  <c r="AP59" i="2"/>
  <c r="BI60" i="2"/>
  <c r="BW60" i="2"/>
  <c r="CK60" i="2"/>
  <c r="Q60" i="2"/>
  <c r="Q50" i="2"/>
  <c r="BN63" i="2"/>
  <c r="BT63" i="2"/>
  <c r="BZ63" i="2"/>
  <c r="CD37" i="2"/>
  <c r="N37" i="2"/>
  <c r="CD35" i="2"/>
  <c r="AW64" i="2"/>
  <c r="BC64" i="2"/>
  <c r="BI64" i="2"/>
  <c r="CG18" i="2"/>
  <c r="BV41" i="2"/>
  <c r="BH33" i="2"/>
  <c r="CB65" i="2"/>
  <c r="BZ65" i="2"/>
  <c r="CF65" i="2"/>
  <c r="L65" i="2"/>
  <c r="AO28" i="2"/>
  <c r="U54" i="2"/>
  <c r="CM54" i="2"/>
  <c r="CF68" i="2"/>
  <c r="AR68" i="2"/>
  <c r="CM68" i="2"/>
  <c r="BC68" i="2"/>
  <c r="S68" i="2"/>
  <c r="BN68" i="2"/>
  <c r="AD68" i="2"/>
  <c r="BU68" i="2"/>
  <c r="AG68" i="2"/>
  <c r="AQ44" i="2"/>
  <c r="BO44" i="2"/>
  <c r="CK42" i="2"/>
  <c r="U42" i="2"/>
  <c r="T61" i="2"/>
  <c r="AH61" i="2"/>
  <c r="AF61" i="2"/>
  <c r="P39" i="2"/>
  <c r="AN39" i="2"/>
  <c r="BK69" i="2"/>
  <c r="AA69" i="2"/>
  <c r="BV69" i="2"/>
  <c r="AL69" i="2"/>
  <c r="BY69" i="2"/>
  <c r="AO69" i="2"/>
  <c r="CF69" i="2"/>
  <c r="AV69" i="2"/>
  <c r="L69" i="2"/>
  <c r="I85" i="1"/>
  <c r="AB20" i="2"/>
  <c r="BS17" i="2"/>
  <c r="R16" i="2"/>
  <c r="BX60" i="2"/>
  <c r="M63" i="2"/>
  <c r="BE35" i="2"/>
  <c r="BX21" i="2"/>
  <c r="AL18" i="2"/>
  <c r="P33" i="2"/>
  <c r="W65" i="2"/>
  <c r="U8" i="2"/>
  <c r="BJ28" i="2"/>
  <c r="AW44" i="2"/>
  <c r="AA42" i="2"/>
  <c r="CI61" i="2"/>
  <c r="AM23" i="2"/>
  <c r="BB39" i="2"/>
  <c r="S13" i="2"/>
  <c r="AX13" i="2"/>
  <c r="K9" i="2"/>
  <c r="BK38" i="2"/>
  <c r="BN38" i="2"/>
  <c r="BU49" i="2"/>
  <c r="CD43" i="2"/>
  <c r="CC43" i="2"/>
  <c r="X55" i="2"/>
  <c r="BK11" i="2"/>
  <c r="BN11" i="2"/>
  <c r="BQ62" i="2"/>
  <c r="AZ62" i="2"/>
  <c r="BH27" i="2"/>
  <c r="AQ27" i="2"/>
  <c r="BX31" i="2"/>
  <c r="Q31" i="2"/>
  <c r="CK34" i="2"/>
  <c r="V34" i="2"/>
  <c r="BE14" i="2"/>
  <c r="P14" i="2"/>
  <c r="CK15" i="2"/>
  <c r="CM15" i="2"/>
  <c r="BB15" i="2"/>
  <c r="AE46" i="2"/>
  <c r="AR46" i="2"/>
  <c r="R46" i="2"/>
  <c r="Z47" i="2"/>
  <c r="BY47" i="2"/>
  <c r="Y22" i="2"/>
  <c r="AZ22" i="2"/>
  <c r="CL22" i="2"/>
  <c r="BE58" i="2"/>
  <c r="CJ58" i="2"/>
  <c r="K48" i="2"/>
  <c r="BV48" i="2"/>
  <c r="AR48" i="2"/>
  <c r="CL72" i="2"/>
  <c r="X72" i="2"/>
  <c r="CH72" i="2"/>
  <c r="AC72" i="2"/>
  <c r="L51" i="2"/>
  <c r="BA66" i="2"/>
  <c r="AG66" i="2"/>
  <c r="CB71" i="2"/>
  <c r="BK71" i="2"/>
  <c r="BB71" i="2"/>
  <c r="CH45" i="2"/>
  <c r="AK32" i="2"/>
  <c r="AM40" i="2"/>
  <c r="CC56" i="2"/>
  <c r="W56" i="2"/>
  <c r="AN57" i="2"/>
  <c r="N57" i="2"/>
  <c r="R53" i="2"/>
  <c r="BZ59" i="2"/>
  <c r="BP59" i="2"/>
  <c r="AX59" i="2"/>
  <c r="AS60" i="2"/>
  <c r="AI60" i="2"/>
  <c r="Y60" i="2"/>
  <c r="BI50" i="2"/>
  <c r="AH63" i="2"/>
  <c r="CH63" i="2"/>
  <c r="AX37" i="2"/>
  <c r="Z37" i="2"/>
  <c r="BM64" i="2"/>
  <c r="AM64" i="2"/>
  <c r="AC64" i="2"/>
  <c r="CL41" i="2"/>
  <c r="AZ33" i="2"/>
  <c r="AN65" i="2"/>
  <c r="N65" i="2"/>
  <c r="CD65" i="2"/>
  <c r="BL54" i="2"/>
  <c r="S54" i="2"/>
  <c r="BT68" i="2"/>
  <c r="AB68" i="2"/>
  <c r="BK68" i="2"/>
  <c r="W68" i="2"/>
  <c r="BJ68" i="2"/>
  <c r="R68" i="2"/>
  <c r="BE68" i="2"/>
  <c r="Q68" i="2"/>
  <c r="BC44" i="2"/>
  <c r="AC42" i="2"/>
  <c r="AK42" i="2"/>
  <c r="L61" i="2"/>
  <c r="CJ61" i="2"/>
  <c r="BL23" i="2"/>
  <c r="AB39" i="2"/>
  <c r="BW69" i="2"/>
  <c r="AI69" i="2"/>
  <c r="BZ69" i="2"/>
  <c r="AD69" i="2"/>
  <c r="BQ69" i="2"/>
  <c r="AC69" i="2"/>
  <c r="BP69" i="2"/>
  <c r="X69" i="2"/>
  <c r="BI38" i="2"/>
  <c r="CH49" i="2"/>
  <c r="R49" i="2"/>
  <c r="AB43" i="2"/>
  <c r="AJ43" i="2"/>
  <c r="AH55" i="2"/>
  <c r="AN55" i="2"/>
  <c r="AT55" i="2"/>
  <c r="AY62" i="2"/>
  <c r="BM62" i="2"/>
  <c r="BS62" i="2"/>
  <c r="CL27" i="2"/>
  <c r="BY67" i="2"/>
  <c r="AL67" i="2"/>
  <c r="BX67" i="2"/>
  <c r="AJ67" i="2"/>
  <c r="BW67" i="2"/>
  <c r="AI67" i="2"/>
  <c r="BR67" i="2"/>
  <c r="AB67" i="2"/>
  <c r="BZ31" i="2"/>
  <c r="BG34" i="2"/>
  <c r="BA46" i="2"/>
  <c r="CH70" i="2"/>
  <c r="AX70" i="2"/>
  <c r="CK70" i="2"/>
  <c r="BA70" i="2"/>
  <c r="Q70" i="2"/>
  <c r="BH70" i="2"/>
  <c r="X70" i="2"/>
  <c r="BS70" i="2"/>
  <c r="AI70" i="2"/>
  <c r="AN47" i="2"/>
  <c r="AV47" i="2"/>
  <c r="BC58" i="2"/>
  <c r="BI58" i="2"/>
  <c r="BW58" i="2"/>
  <c r="CI48" i="2"/>
  <c r="S48" i="2"/>
  <c r="O78" i="2"/>
  <c r="X78" i="2"/>
  <c r="AG78" i="2"/>
  <c r="AP78" i="2"/>
  <c r="AY78" i="2"/>
  <c r="BH78" i="2"/>
  <c r="BQ78" i="2"/>
  <c r="CA78" i="2"/>
  <c r="CJ78" i="2"/>
  <c r="P90" i="2"/>
  <c r="Y90" i="2"/>
  <c r="AH90" i="2"/>
  <c r="AQ90" i="2"/>
  <c r="AZ90" i="2"/>
  <c r="BJ90" i="2"/>
  <c r="BS90" i="2"/>
  <c r="CB90" i="2"/>
  <c r="CK90" i="2"/>
  <c r="Q99" i="2"/>
  <c r="Z99" i="2"/>
  <c r="AI99" i="2"/>
  <c r="AS99" i="2"/>
  <c r="BB99" i="2"/>
  <c r="BK99" i="2"/>
  <c r="BT99" i="2"/>
  <c r="CB99" i="2"/>
  <c r="CJ99" i="2"/>
  <c r="O74" i="2"/>
  <c r="W74" i="2"/>
  <c r="AE74" i="2"/>
  <c r="AM74" i="2"/>
  <c r="AU74" i="2"/>
  <c r="BC74" i="2"/>
  <c r="BK74" i="2"/>
  <c r="BS74" i="2"/>
  <c r="CA74" i="2"/>
  <c r="CI74" i="2"/>
  <c r="N98" i="2"/>
  <c r="V98" i="2"/>
  <c r="AD98" i="2"/>
  <c r="AL98" i="2"/>
  <c r="AT98" i="2"/>
  <c r="BB98" i="2"/>
  <c r="BJ98" i="2"/>
  <c r="BR98" i="2"/>
  <c r="BZ98" i="2"/>
  <c r="CH98" i="2"/>
  <c r="M91" i="2"/>
  <c r="U91" i="2"/>
  <c r="AC91" i="2"/>
  <c r="AK91" i="2"/>
  <c r="AS91" i="2"/>
  <c r="BA91" i="2"/>
  <c r="BI91" i="2"/>
  <c r="BQ91" i="2"/>
  <c r="BY91" i="2"/>
  <c r="CG91" i="2"/>
  <c r="L94" i="2"/>
  <c r="T94" i="2"/>
  <c r="AB94" i="2"/>
  <c r="AJ94" i="2"/>
  <c r="AR94" i="2"/>
  <c r="AZ94" i="2"/>
  <c r="BH94" i="2"/>
  <c r="BP94" i="2"/>
  <c r="BX94" i="2"/>
  <c r="CF94" i="2"/>
  <c r="K81" i="2"/>
  <c r="S81" i="2"/>
  <c r="AA81" i="2"/>
  <c r="AI81" i="2"/>
  <c r="AQ81" i="2"/>
  <c r="AY81" i="2"/>
  <c r="BG81" i="2"/>
  <c r="BO81" i="2"/>
  <c r="BW81" i="2"/>
  <c r="CE81" i="2"/>
  <c r="CM81" i="2"/>
  <c r="R87" i="2"/>
  <c r="Z87" i="2"/>
  <c r="AH87" i="2"/>
  <c r="AP87" i="2"/>
  <c r="AX87" i="2"/>
  <c r="BF87" i="2"/>
  <c r="BN87" i="2"/>
  <c r="BP30" i="2"/>
  <c r="K56" i="2"/>
  <c r="BR10" i="2"/>
  <c r="Q59" i="2"/>
  <c r="BO50" i="2"/>
  <c r="AZ37" i="2"/>
  <c r="AY64" i="2"/>
  <c r="AS18" i="2"/>
  <c r="AV41" i="2"/>
  <c r="BK33" i="2"/>
  <c r="BV8" i="2"/>
  <c r="BY28" i="2"/>
  <c r="AZ54" i="2"/>
  <c r="BB44" i="2"/>
  <c r="BD42" i="2"/>
  <c r="CG61" i="2"/>
  <c r="BN23" i="2"/>
  <c r="BS39" i="2"/>
  <c r="AG13" i="2"/>
  <c r="BC9" i="2"/>
  <c r="X9" i="2"/>
  <c r="S38" i="2"/>
  <c r="BV49" i="2"/>
  <c r="M49" i="2"/>
  <c r="AT43" i="2"/>
  <c r="U43" i="2"/>
  <c r="AY55" i="2"/>
  <c r="BO11" i="2"/>
  <c r="N11" i="2"/>
  <c r="BR62" i="2"/>
  <c r="BV27" i="2"/>
  <c r="BI27" i="2"/>
  <c r="I56" i="1"/>
  <c r="BD31" i="2"/>
  <c r="AY31" i="2"/>
  <c r="BI34" i="2"/>
  <c r="AV34" i="2"/>
  <c r="CG14" i="2"/>
  <c r="AQ14" i="2"/>
  <c r="X15" i="2"/>
  <c r="AU15" i="2"/>
  <c r="V15" i="2"/>
  <c r="AY46" i="2"/>
  <c r="L46" i="2"/>
  <c r="BZ47" i="2"/>
  <c r="BO47" i="2"/>
  <c r="AS47" i="2"/>
  <c r="BA22" i="2"/>
  <c r="CE22" i="2"/>
  <c r="BF22" i="2"/>
  <c r="CD58" i="2"/>
  <c r="BD58" i="2"/>
  <c r="AC48" i="2"/>
  <c r="AP48" i="2"/>
  <c r="L48" i="2"/>
  <c r="Z72" i="2"/>
  <c r="BW72" i="2"/>
  <c r="V72" i="2"/>
  <c r="BD29" i="2"/>
  <c r="CI66" i="2"/>
  <c r="CA66" i="2"/>
  <c r="BQ71" i="2"/>
  <c r="AV71" i="2"/>
  <c r="AM71" i="2"/>
  <c r="AX71" i="2"/>
  <c r="V45" i="2"/>
  <c r="S20" i="2"/>
  <c r="W40" i="2"/>
  <c r="BE56" i="2"/>
  <c r="BY56" i="2"/>
  <c r="AF57" i="2"/>
  <c r="BP57" i="2"/>
  <c r="BZ53" i="2"/>
  <c r="BR59" i="2"/>
  <c r="AZ59" i="2"/>
  <c r="AH59" i="2"/>
  <c r="AK60" i="2"/>
  <c r="S60" i="2"/>
  <c r="BQ50" i="2"/>
  <c r="AS50" i="2"/>
  <c r="CJ63" i="2"/>
  <c r="BR63" i="2"/>
  <c r="R37" i="2"/>
  <c r="BF35" i="2"/>
  <c r="AO64" i="2"/>
  <c r="AE64" i="2"/>
  <c r="BN21" i="2"/>
  <c r="BF41" i="2"/>
  <c r="T33" i="2"/>
  <c r="X65" i="2"/>
  <c r="BX65" i="2"/>
  <c r="BV65" i="2"/>
  <c r="AQ54" i="2"/>
  <c r="CB54" i="2"/>
  <c r="BP68" i="2"/>
  <c r="T68" i="2"/>
  <c r="BG68" i="2"/>
  <c r="O68" i="2"/>
  <c r="BF68" i="2"/>
  <c r="N68" i="2"/>
  <c r="BA68" i="2"/>
  <c r="M68" i="2"/>
  <c r="W44" i="2"/>
  <c r="M42" i="2"/>
  <c r="CF61" i="2"/>
  <c r="CD61" i="2"/>
  <c r="CB61" i="2"/>
  <c r="AF23" i="2"/>
  <c r="L39" i="2"/>
  <c r="BS69" i="2"/>
  <c r="AE69" i="2"/>
  <c r="BR69" i="2"/>
  <c r="Z69" i="2"/>
  <c r="BM69" i="2"/>
  <c r="Y69" i="2"/>
  <c r="BH69" i="2"/>
  <c r="T69" i="2"/>
  <c r="AS38" i="2"/>
  <c r="BR49" i="2"/>
  <c r="BZ49" i="2"/>
  <c r="CJ43" i="2"/>
  <c r="T43" i="2"/>
  <c r="Z55" i="2"/>
  <c r="AF55" i="2"/>
  <c r="AL55" i="2"/>
  <c r="AQ62" i="2"/>
  <c r="BE62" i="2"/>
  <c r="BC62" i="2"/>
  <c r="BF27" i="2"/>
  <c r="BU67" i="2"/>
  <c r="AF67" i="2"/>
  <c r="BT67" i="2"/>
  <c r="AE67" i="2"/>
  <c r="BS67" i="2"/>
  <c r="X67" i="2"/>
  <c r="BN67" i="2"/>
  <c r="W67" i="2"/>
  <c r="AT31" i="2"/>
  <c r="AA34" i="2"/>
  <c r="AK46" i="2"/>
  <c r="CD70" i="2"/>
  <c r="AP70" i="2"/>
  <c r="CG70" i="2"/>
  <c r="AW70" i="2"/>
  <c r="M70" i="2"/>
  <c r="BD70" i="2"/>
  <c r="T70" i="2"/>
  <c r="BO70" i="2"/>
  <c r="AA70" i="2"/>
  <c r="X47" i="2"/>
  <c r="AF47" i="2"/>
  <c r="AU58" i="2"/>
  <c r="BA58" i="2"/>
  <c r="BO58" i="2"/>
  <c r="BS48" i="2"/>
  <c r="BK48" i="2"/>
  <c r="P78" i="2"/>
  <c r="Y78" i="2"/>
  <c r="AH78" i="2"/>
  <c r="AQ78" i="2"/>
  <c r="AZ78" i="2"/>
  <c r="BI78" i="2"/>
  <c r="BS78" i="2"/>
  <c r="CB78" i="2"/>
  <c r="CK78" i="2"/>
  <c r="Q90" i="2"/>
  <c r="Z90" i="2"/>
  <c r="AI90" i="2"/>
  <c r="AR90" i="2"/>
  <c r="BB90" i="2"/>
  <c r="BK90" i="2"/>
  <c r="BT90" i="2"/>
  <c r="CC90" i="2"/>
  <c r="CL90" i="2"/>
  <c r="R99" i="2"/>
  <c r="AA99" i="2"/>
  <c r="AK99" i="2"/>
  <c r="AT99" i="2"/>
  <c r="BC99" i="2"/>
  <c r="BL99" i="2"/>
  <c r="BU99" i="2"/>
  <c r="CC99" i="2"/>
  <c r="BW45" i="2"/>
  <c r="R56" i="2"/>
  <c r="BF10" i="2"/>
  <c r="O59" i="2"/>
  <c r="AE50" i="2"/>
  <c r="BA37" i="2"/>
  <c r="AZ64" i="2"/>
  <c r="BX18" i="2"/>
  <c r="BQ41" i="2"/>
  <c r="AA33" i="2"/>
  <c r="X8" i="2"/>
  <c r="CI28" i="2"/>
  <c r="CC54" i="2"/>
  <c r="V44" i="2"/>
  <c r="AB42" i="2"/>
  <c r="BE61" i="2"/>
  <c r="AL23" i="2"/>
  <c r="AQ39" i="2"/>
  <c r="BC13" i="2"/>
  <c r="CC9" i="2"/>
  <c r="CH9" i="2"/>
  <c r="CB38" i="2"/>
  <c r="CF49" i="2"/>
  <c r="CA49" i="2"/>
  <c r="N43" i="2"/>
  <c r="BX55" i="2"/>
  <c r="AM55" i="2"/>
  <c r="AI11" i="2"/>
  <c r="CB11" i="2"/>
  <c r="BF62" i="2"/>
  <c r="AT27" i="2"/>
  <c r="AW27" i="2"/>
  <c r="AK67" i="2"/>
  <c r="AF31" i="2"/>
  <c r="AI31" i="2"/>
  <c r="AK34" i="2"/>
  <c r="AJ34" i="2"/>
  <c r="BA14" i="2"/>
  <c r="AD14" i="2"/>
  <c r="BQ15" i="2"/>
  <c r="AI15" i="2"/>
  <c r="R15" i="2"/>
  <c r="AQ46" i="2"/>
  <c r="CD46" i="2"/>
  <c r="BR47" i="2"/>
  <c r="BG47" i="2"/>
  <c r="AO47" i="2"/>
  <c r="AK22" i="2"/>
  <c r="BS22" i="2"/>
  <c r="BB22" i="2"/>
  <c r="BV58" i="2"/>
  <c r="AZ58" i="2"/>
  <c r="U48" i="2"/>
  <c r="AD48" i="2"/>
  <c r="CE52" i="2"/>
  <c r="CJ72" i="2"/>
  <c r="BS72" i="2"/>
  <c r="N72" i="2"/>
  <c r="AV29" i="2"/>
  <c r="CC66" i="2"/>
  <c r="BO66" i="2"/>
  <c r="BM71" i="2"/>
  <c r="AR71" i="2"/>
  <c r="AE71" i="2"/>
  <c r="AL71" i="2"/>
  <c r="CD45" i="2"/>
  <c r="BK40" i="2"/>
  <c r="BO36" i="2"/>
  <c r="AW56" i="2"/>
  <c r="BQ56" i="2"/>
  <c r="X57" i="2"/>
  <c r="BH57" i="2"/>
  <c r="AT53" i="2"/>
  <c r="BJ59" i="2"/>
  <c r="AJ59" i="2"/>
  <c r="Z59" i="2"/>
  <c r="U60" i="2"/>
  <c r="K60" i="2"/>
  <c r="BA50" i="2"/>
  <c r="AC50" i="2"/>
  <c r="CB63" i="2"/>
  <c r="BJ63" i="2"/>
  <c r="BZ37" i="2"/>
  <c r="Z35" i="2"/>
  <c r="AG64" i="2"/>
  <c r="W64" i="2"/>
  <c r="AH21" i="2"/>
  <c r="AP41" i="2"/>
  <c r="BX33" i="2"/>
  <c r="P65" i="2"/>
  <c r="BP65" i="2"/>
  <c r="BN65" i="2"/>
  <c r="AF54" i="2"/>
  <c r="BG54" i="2"/>
  <c r="BL68" i="2"/>
  <c r="L68" i="2"/>
  <c r="AY68" i="2"/>
  <c r="K68" i="2"/>
  <c r="AX68" i="2"/>
  <c r="CK68" i="2"/>
  <c r="AW68" i="2"/>
  <c r="CM44" i="2"/>
  <c r="CE44" i="2"/>
  <c r="BU42" i="2"/>
  <c r="BX61" i="2"/>
  <c r="BV61" i="2"/>
  <c r="BT61" i="2"/>
  <c r="CB39" i="2"/>
  <c r="BT39" i="2"/>
  <c r="BO69" i="2"/>
  <c r="W69" i="2"/>
  <c r="BJ69" i="2"/>
  <c r="V69" i="2"/>
  <c r="BI69" i="2"/>
  <c r="U69" i="2"/>
  <c r="BD69" i="2"/>
  <c r="P69" i="2"/>
  <c r="AC38" i="2"/>
  <c r="BB49" i="2"/>
  <c r="AT49" i="2"/>
  <c r="BT43" i="2"/>
  <c r="CL55" i="2"/>
  <c r="O55" i="2"/>
  <c r="W55" i="2"/>
  <c r="AD55" i="2"/>
  <c r="AI62" i="2"/>
  <c r="AO62" i="2"/>
  <c r="AU62" i="2"/>
  <c r="X27" i="2"/>
  <c r="BQ67" i="2"/>
  <c r="AA67" i="2"/>
  <c r="BP67" i="2"/>
  <c r="Z67" i="2"/>
  <c r="BK67" i="2"/>
  <c r="S67" i="2"/>
  <c r="BJ67" i="2"/>
  <c r="R67" i="2"/>
  <c r="N31" i="2"/>
  <c r="CK46" i="2"/>
  <c r="U46" i="2"/>
  <c r="BV70" i="2"/>
  <c r="AL70" i="2"/>
  <c r="CC70" i="2"/>
  <c r="AS70" i="2"/>
  <c r="CJ70" i="2"/>
  <c r="AZ70" i="2"/>
  <c r="P70" i="2"/>
  <c r="BG70" i="2"/>
  <c r="W70" i="2"/>
  <c r="CF47" i="2"/>
  <c r="P47" i="2"/>
  <c r="AM58" i="2"/>
  <c r="AS58" i="2"/>
  <c r="BG58" i="2"/>
  <c r="AM48" i="2"/>
  <c r="AU48" i="2"/>
  <c r="Q78" i="2"/>
  <c r="Z78" i="2"/>
  <c r="AI78" i="2"/>
  <c r="AR78" i="2"/>
  <c r="BA78" i="2"/>
  <c r="BK78" i="2"/>
  <c r="BT78" i="2"/>
  <c r="CC78" i="2"/>
  <c r="CL78" i="2"/>
  <c r="R90" i="2"/>
  <c r="AA90" i="2"/>
  <c r="AJ90" i="2"/>
  <c r="AT90" i="2"/>
  <c r="BC90" i="2"/>
  <c r="BL90" i="2"/>
  <c r="BU90" i="2"/>
  <c r="CD90" i="2"/>
  <c r="CM90" i="2"/>
  <c r="S99" i="2"/>
  <c r="AC99" i="2"/>
  <c r="AL99" i="2"/>
  <c r="AU99" i="2"/>
  <c r="BD99" i="2"/>
  <c r="BM99" i="2"/>
  <c r="BV99" i="2"/>
  <c r="CD99" i="2"/>
  <c r="CL99" i="2"/>
  <c r="AQ45" i="2"/>
  <c r="AZ19" i="2"/>
  <c r="AP10" i="2"/>
  <c r="K59" i="2"/>
  <c r="W50" i="2"/>
  <c r="AW37" i="2"/>
  <c r="AV64" i="2"/>
  <c r="BP18" i="2"/>
  <c r="BM41" i="2"/>
  <c r="W33" i="2"/>
  <c r="BN8" i="2"/>
  <c r="CA28" i="2"/>
  <c r="BX54" i="2"/>
  <c r="R44" i="2"/>
  <c r="X42" i="2"/>
  <c r="BA61" i="2"/>
  <c r="AH23" i="2"/>
  <c r="AM39" i="2"/>
  <c r="AU13" i="2"/>
  <c r="AG9" i="2"/>
  <c r="BZ9" i="2"/>
  <c r="BT38" i="2"/>
  <c r="BX49" i="2"/>
  <c r="BW49" i="2"/>
  <c r="CI43" i="2"/>
  <c r="BP55" i="2"/>
  <c r="AI55" i="2"/>
  <c r="AA11" i="2"/>
  <c r="BT11" i="2"/>
  <c r="BB62" i="2"/>
  <c r="AC27" i="2"/>
  <c r="AS27" i="2"/>
  <c r="AG67" i="2"/>
  <c r="X31" i="2"/>
  <c r="AE31" i="2"/>
  <c r="U34" i="2"/>
  <c r="AF34" i="2"/>
  <c r="AS14" i="2"/>
  <c r="V14" i="2"/>
  <c r="BI15" i="2"/>
  <c r="AE15" i="2"/>
  <c r="N15" i="2"/>
  <c r="S46" i="2"/>
  <c r="BZ46" i="2"/>
  <c r="BB47" i="2"/>
  <c r="BC47" i="2"/>
  <c r="AK47" i="2"/>
  <c r="CB22" i="2"/>
  <c r="BO22" i="2"/>
  <c r="AT22" i="2"/>
  <c r="BR58" i="2"/>
  <c r="AV58" i="2"/>
  <c r="CC48" i="2"/>
  <c r="Z48" i="2"/>
  <c r="AY52" i="2"/>
  <c r="CF72" i="2"/>
  <c r="BO72" i="2"/>
  <c r="CC72" i="2"/>
  <c r="P29" i="2"/>
  <c r="BS66" i="2"/>
  <c r="BG66" i="2"/>
  <c r="BI71" i="2"/>
  <c r="AF71" i="2"/>
  <c r="S71" i="2"/>
  <c r="Z71" i="2"/>
  <c r="AH45" i="2"/>
  <c r="AU40" i="2"/>
  <c r="AH36" i="2"/>
  <c r="Q56" i="2"/>
  <c r="AS56" i="2"/>
  <c r="BZ57" i="2"/>
  <c r="AJ57" i="2"/>
  <c r="AD53" i="2"/>
  <c r="AT59" i="2"/>
  <c r="T59" i="2"/>
  <c r="R59" i="2"/>
  <c r="CM60" i="2"/>
  <c r="CC60" i="2"/>
  <c r="AK50" i="2"/>
  <c r="CL63" i="2"/>
  <c r="BL63" i="2"/>
  <c r="BB63" i="2"/>
  <c r="AT37" i="2"/>
  <c r="R35" i="2"/>
  <c r="Y64" i="2"/>
  <c r="BY64" i="2"/>
  <c r="BA18" i="2"/>
  <c r="CH41" i="2"/>
  <c r="L33" i="2"/>
  <c r="BR65" i="2"/>
  <c r="BH65" i="2"/>
  <c r="Q28" i="2"/>
  <c r="K54" i="2"/>
  <c r="AV54" i="2"/>
  <c r="BD68" i="2"/>
  <c r="CI68" i="2"/>
  <c r="AU68" i="2"/>
  <c r="CL68" i="2"/>
  <c r="AT68" i="2"/>
  <c r="CG68" i="2"/>
  <c r="AS68" i="2"/>
  <c r="BG44" i="2"/>
  <c r="AY44" i="2"/>
  <c r="BE42" i="2"/>
  <c r="BH61" i="2"/>
  <c r="BN61" i="2"/>
  <c r="BL61" i="2"/>
  <c r="BL39" i="2"/>
  <c r="BD39" i="2"/>
  <c r="BG69" i="2"/>
  <c r="S69" i="2"/>
  <c r="BF69" i="2"/>
  <c r="R69" i="2"/>
  <c r="BE69" i="2"/>
  <c r="M69" i="2"/>
  <c r="AZ69" i="2"/>
  <c r="CC38" i="2"/>
  <c r="M38" i="2"/>
  <c r="V49" i="2"/>
  <c r="AD49" i="2"/>
  <c r="BD43" i="2"/>
  <c r="CD55" i="2"/>
  <c r="CJ55" i="2"/>
  <c r="L55" i="2"/>
  <c r="T55" i="2"/>
  <c r="S62" i="2"/>
  <c r="AG62" i="2"/>
  <c r="AM62" i="2"/>
  <c r="CD27" i="2"/>
  <c r="BM67" i="2"/>
  <c r="V67" i="2"/>
  <c r="BL67" i="2"/>
  <c r="O67" i="2"/>
  <c r="BG67" i="2"/>
  <c r="N67" i="2"/>
  <c r="BF67" i="2"/>
  <c r="L67" i="2"/>
  <c r="BW34" i="2"/>
  <c r="BU46" i="2"/>
  <c r="BM46" i="2"/>
  <c r="BR70" i="2"/>
  <c r="AH70" i="2"/>
  <c r="BY70" i="2"/>
  <c r="AO70" i="2"/>
  <c r="CF70" i="2"/>
  <c r="AV70" i="2"/>
  <c r="CM70" i="2"/>
  <c r="BC70" i="2"/>
  <c r="S70" i="2"/>
  <c r="BP47" i="2"/>
  <c r="Q22" i="2"/>
  <c r="AE58" i="2"/>
  <c r="AK58" i="2"/>
  <c r="AQ58" i="2"/>
  <c r="W48" i="2"/>
  <c r="AE48" i="2"/>
  <c r="R78" i="2"/>
  <c r="AA78" i="2"/>
  <c r="AJ78" i="2"/>
  <c r="AS78" i="2"/>
  <c r="BC78" i="2"/>
  <c r="BL78" i="2"/>
  <c r="BU78" i="2"/>
  <c r="CD78" i="2"/>
  <c r="CM78" i="2"/>
  <c r="S90" i="2"/>
  <c r="AB90" i="2"/>
  <c r="AL90" i="2"/>
  <c r="AU90" i="2"/>
  <c r="BD90" i="2"/>
  <c r="BM90" i="2"/>
  <c r="BV90" i="2"/>
  <c r="CE90" i="2"/>
  <c r="K99" i="2"/>
  <c r="U99" i="2"/>
  <c r="AD99" i="2"/>
  <c r="AM99" i="2"/>
  <c r="AV99" i="2"/>
  <c r="BE99" i="2"/>
  <c r="BN99" i="2"/>
  <c r="BW99" i="2"/>
  <c r="CE99" i="2"/>
  <c r="CM99" i="2"/>
  <c r="R74" i="2"/>
  <c r="Z74" i="2"/>
  <c r="AH74" i="2"/>
  <c r="AP74" i="2"/>
  <c r="AX74" i="2"/>
  <c r="BF74" i="2"/>
  <c r="BN74" i="2"/>
  <c r="BV74" i="2"/>
  <c r="CD74" i="2"/>
  <c r="CL74" i="2"/>
  <c r="Q98" i="2"/>
  <c r="Y98" i="2"/>
  <c r="AG98" i="2"/>
  <c r="AO98" i="2"/>
  <c r="AW98" i="2"/>
  <c r="BE98" i="2"/>
  <c r="BM98" i="2"/>
  <c r="BU98" i="2"/>
  <c r="CC98" i="2"/>
  <c r="CK98" i="2"/>
  <c r="P91" i="2"/>
  <c r="X91" i="2"/>
  <c r="AF91" i="2"/>
  <c r="AN91" i="2"/>
  <c r="AV91" i="2"/>
  <c r="BD91" i="2"/>
  <c r="BL91" i="2"/>
  <c r="BT91" i="2"/>
  <c r="CB91" i="2"/>
  <c r="CJ91" i="2"/>
  <c r="O94" i="2"/>
  <c r="W94" i="2"/>
  <c r="AE94" i="2"/>
  <c r="AM94" i="2"/>
  <c r="AU94" i="2"/>
  <c r="BC94" i="2"/>
  <c r="BK94" i="2"/>
  <c r="BS94" i="2"/>
  <c r="CA94" i="2"/>
  <c r="CI94" i="2"/>
  <c r="N81" i="2"/>
  <c r="V81" i="2"/>
  <c r="AD81" i="2"/>
  <c r="AL81" i="2"/>
  <c r="AT81" i="2"/>
  <c r="BB81" i="2"/>
  <c r="BJ81" i="2"/>
  <c r="BR81" i="2"/>
  <c r="BZ81" i="2"/>
  <c r="CH81" i="2"/>
  <c r="M87" i="2"/>
  <c r="U87" i="2"/>
  <c r="AC87" i="2"/>
  <c r="AK87" i="2"/>
  <c r="AS87" i="2"/>
  <c r="BA87" i="2"/>
  <c r="BI87" i="2"/>
  <c r="BQ87" i="2"/>
  <c r="BY87" i="2"/>
  <c r="CG87" i="2"/>
  <c r="L89" i="2"/>
  <c r="T89" i="2"/>
  <c r="AB89" i="2"/>
  <c r="AJ89" i="2"/>
  <c r="AR89" i="2"/>
  <c r="AZ89" i="2"/>
  <c r="BH89" i="2"/>
  <c r="BP89" i="2"/>
  <c r="BX89" i="2"/>
  <c r="CF89" i="2"/>
  <c r="K95" i="2"/>
  <c r="S95" i="2"/>
  <c r="X19" i="2"/>
  <c r="W24" i="2"/>
  <c r="U37" i="2"/>
  <c r="L18" i="2"/>
  <c r="CK33" i="2"/>
  <c r="AU28" i="2"/>
  <c r="CF44" i="2"/>
  <c r="AO61" i="2"/>
  <c r="AA39" i="2"/>
  <c r="Q9" i="2"/>
  <c r="BP38" i="2"/>
  <c r="BS49" i="2"/>
  <c r="AZ55" i="2"/>
  <c r="S11" i="2"/>
  <c r="AX62" i="2"/>
  <c r="AO27" i="2"/>
  <c r="CK31" i="2"/>
  <c r="M34" i="2"/>
  <c r="AK14" i="2"/>
  <c r="BA15" i="2"/>
  <c r="BY46" i="2"/>
  <c r="BR46" i="2"/>
  <c r="AY47" i="2"/>
  <c r="BT22" i="2"/>
  <c r="AP22" i="2"/>
  <c r="AJ58" i="2"/>
  <c r="R48" i="2"/>
  <c r="CB72" i="2"/>
  <c r="BY72" i="2"/>
  <c r="BK66" i="2"/>
  <c r="AW71" i="2"/>
  <c r="O71" i="2"/>
  <c r="R45" i="2"/>
  <c r="AU36" i="2"/>
  <c r="AK56" i="2"/>
  <c r="AB57" i="2"/>
  <c r="AL59" i="2"/>
  <c r="CA24" i="2"/>
  <c r="BM60" i="2"/>
  <c r="BV63" i="2"/>
  <c r="AL63" i="2"/>
  <c r="BV35" i="2"/>
  <c r="BQ64" i="2"/>
  <c r="BR41" i="2"/>
  <c r="BJ65" i="2"/>
  <c r="BU28" i="2"/>
  <c r="AK54" i="2"/>
  <c r="CE68" i="2"/>
  <c r="CD68" i="2"/>
  <c r="CC68" i="2"/>
  <c r="AA44" i="2"/>
  <c r="AO42" i="2"/>
  <c r="BF61" i="2"/>
  <c r="AF39" i="2"/>
  <c r="BC69" i="2"/>
  <c r="BB69" i="2"/>
  <c r="BA69" i="2"/>
  <c r="AR69" i="2"/>
  <c r="BU38" i="2"/>
  <c r="N49" i="2"/>
  <c r="BV55" i="2"/>
  <c r="CH55" i="2"/>
  <c r="K62" i="2"/>
  <c r="AE62" i="2"/>
  <c r="BI67" i="2"/>
  <c r="BD67" i="2"/>
  <c r="BC67" i="2"/>
  <c r="BB67" i="2"/>
  <c r="AQ34" i="2"/>
  <c r="AW46" i="2"/>
  <c r="AD70" i="2"/>
  <c r="AK70" i="2"/>
  <c r="AN70" i="2"/>
  <c r="AY70" i="2"/>
  <c r="AZ47" i="2"/>
  <c r="W58" i="2"/>
  <c r="AI58" i="2"/>
  <c r="O48" i="2"/>
  <c r="AB78" i="2"/>
  <c r="AU78" i="2"/>
  <c r="BM78" i="2"/>
  <c r="CE78" i="2"/>
  <c r="T90" i="2"/>
  <c r="AM90" i="2"/>
  <c r="BE90" i="2"/>
  <c r="BW90" i="2"/>
  <c r="M99" i="2"/>
  <c r="AE99" i="2"/>
  <c r="AW99" i="2"/>
  <c r="BO99" i="2"/>
  <c r="CF99" i="2"/>
  <c r="N74" i="2"/>
  <c r="Y74" i="2"/>
  <c r="AJ74" i="2"/>
  <c r="AT74" i="2"/>
  <c r="BE74" i="2"/>
  <c r="BP74" i="2"/>
  <c r="BZ74" i="2"/>
  <c r="CK74" i="2"/>
  <c r="S98" i="2"/>
  <c r="AC98" i="2"/>
  <c r="AN98" i="2"/>
  <c r="AY98" i="2"/>
  <c r="BI98" i="2"/>
  <c r="BT98" i="2"/>
  <c r="CE98" i="2"/>
  <c r="L91" i="2"/>
  <c r="W91" i="2"/>
  <c r="AH91" i="2"/>
  <c r="AR91" i="2"/>
  <c r="BC91" i="2"/>
  <c r="BN91" i="2"/>
  <c r="BX91" i="2"/>
  <c r="CI91" i="2"/>
  <c r="Q94" i="2"/>
  <c r="AA94" i="2"/>
  <c r="AL94" i="2"/>
  <c r="AW94" i="2"/>
  <c r="BG94" i="2"/>
  <c r="BR94" i="2"/>
  <c r="CC94" i="2"/>
  <c r="CM94" i="2"/>
  <c r="U81" i="2"/>
  <c r="AF81" i="2"/>
  <c r="AP81" i="2"/>
  <c r="BA81" i="2"/>
  <c r="BL81" i="2"/>
  <c r="BV81" i="2"/>
  <c r="CG81" i="2"/>
  <c r="O87" i="2"/>
  <c r="Y87" i="2"/>
  <c r="AJ87" i="2"/>
  <c r="AU87" i="2"/>
  <c r="BE87" i="2"/>
  <c r="BP87" i="2"/>
  <c r="BZ87" i="2"/>
  <c r="CI87" i="2"/>
  <c r="O89" i="2"/>
  <c r="X89" i="2"/>
  <c r="AG89" i="2"/>
  <c r="AP89" i="2"/>
  <c r="AY89" i="2"/>
  <c r="BI89" i="2"/>
  <c r="BR89" i="2"/>
  <c r="CA89" i="2"/>
  <c r="CJ89" i="2"/>
  <c r="P95" i="2"/>
  <c r="Y95" i="2"/>
  <c r="AG95" i="2"/>
  <c r="AO95" i="2"/>
  <c r="AW95" i="2"/>
  <c r="BE95" i="2"/>
  <c r="BM95" i="2"/>
  <c r="BU95" i="2"/>
  <c r="CC95" i="2"/>
  <c r="CK95" i="2"/>
  <c r="P93" i="2"/>
  <c r="X93" i="2"/>
  <c r="AF93" i="2"/>
  <c r="AN93" i="2"/>
  <c r="AV93" i="2"/>
  <c r="BD93" i="2"/>
  <c r="BL93" i="2"/>
  <c r="BT93" i="2"/>
  <c r="CB93" i="2"/>
  <c r="CJ93" i="2"/>
  <c r="O86" i="2"/>
  <c r="W86" i="2"/>
  <c r="AE86" i="2"/>
  <c r="AM86" i="2"/>
  <c r="AU86" i="2"/>
  <c r="BC86" i="2"/>
  <c r="BK86" i="2"/>
  <c r="BS86" i="2"/>
  <c r="CA86" i="2"/>
  <c r="CI86" i="2"/>
  <c r="N97" i="2"/>
  <c r="V97" i="2"/>
  <c r="AD97" i="2"/>
  <c r="AL97" i="2"/>
  <c r="AT97" i="2"/>
  <c r="BB97" i="2"/>
  <c r="BJ97" i="2"/>
  <c r="BR97" i="2"/>
  <c r="BZ97" i="2"/>
  <c r="CH97" i="2"/>
  <c r="M79" i="2"/>
  <c r="U79" i="2"/>
  <c r="AC79" i="2"/>
  <c r="AK79" i="2"/>
  <c r="AS79" i="2"/>
  <c r="BA79" i="2"/>
  <c r="BI79" i="2"/>
  <c r="BQ79" i="2"/>
  <c r="BY79" i="2"/>
  <c r="CG79" i="2"/>
  <c r="L80" i="2"/>
  <c r="T80" i="2"/>
  <c r="AB80" i="2"/>
  <c r="AJ80" i="2"/>
  <c r="AR80" i="2"/>
  <c r="AZ80" i="2"/>
  <c r="BH80" i="2"/>
  <c r="BP80" i="2"/>
  <c r="BX80" i="2"/>
  <c r="CF80" i="2"/>
  <c r="K96" i="2"/>
  <c r="S96" i="2"/>
  <c r="AA96" i="2"/>
  <c r="AI96" i="2"/>
  <c r="AQ96" i="2"/>
  <c r="AY96" i="2"/>
  <c r="BG96" i="2"/>
  <c r="BO96" i="2"/>
  <c r="BW96" i="2"/>
  <c r="CE96" i="2"/>
  <c r="CM96" i="2"/>
  <c r="R76" i="2"/>
  <c r="Z76" i="2"/>
  <c r="AH76" i="2"/>
  <c r="AP76" i="2"/>
  <c r="AX76" i="2"/>
  <c r="BF76" i="2"/>
  <c r="BN76" i="2"/>
  <c r="BV76" i="2"/>
  <c r="CD76" i="2"/>
  <c r="CL76" i="2"/>
  <c r="Q77" i="2"/>
  <c r="Y77" i="2"/>
  <c r="AG77" i="2"/>
  <c r="AO77" i="2"/>
  <c r="AW77" i="2"/>
  <c r="BE77" i="2"/>
  <c r="BM77" i="2"/>
  <c r="BU77" i="2"/>
  <c r="CC77" i="2"/>
  <c r="CK77" i="2"/>
  <c r="P84" i="2"/>
  <c r="X84" i="2"/>
  <c r="AF84" i="2"/>
  <c r="AN84" i="2"/>
  <c r="AV84" i="2"/>
  <c r="BD84" i="2"/>
  <c r="BL84" i="2"/>
  <c r="BT84" i="2"/>
  <c r="CB84" i="2"/>
  <c r="CJ84" i="2"/>
  <c r="O75" i="2"/>
  <c r="W75" i="2"/>
  <c r="AE75" i="2"/>
  <c r="AM75" i="2"/>
  <c r="AU75" i="2"/>
  <c r="BC75" i="2"/>
  <c r="BK75" i="2"/>
  <c r="BS75" i="2"/>
  <c r="CA75" i="2"/>
  <c r="CI75" i="2"/>
  <c r="N85" i="2"/>
  <c r="V85" i="2"/>
  <c r="AD85" i="2"/>
  <c r="AL85" i="2"/>
  <c r="AT85" i="2"/>
  <c r="BB85" i="2"/>
  <c r="BJ85" i="2"/>
  <c r="BR85" i="2"/>
  <c r="BZ85" i="2"/>
  <c r="CH85" i="2"/>
  <c r="M88" i="2"/>
  <c r="U88" i="2"/>
  <c r="AC88" i="2"/>
  <c r="AK88" i="2"/>
  <c r="AS88" i="2"/>
  <c r="BA88" i="2"/>
  <c r="BI88" i="2"/>
  <c r="BQ88" i="2"/>
  <c r="BY88" i="2"/>
  <c r="CG88" i="2"/>
  <c r="L82" i="2"/>
  <c r="T82" i="2"/>
  <c r="AB82" i="2"/>
  <c r="AJ82" i="2"/>
  <c r="AR82" i="2"/>
  <c r="AZ82" i="2"/>
  <c r="BH82" i="2"/>
  <c r="BP82" i="2"/>
  <c r="BX82" i="2"/>
  <c r="CF82" i="2"/>
  <c r="K92" i="2"/>
  <c r="S92" i="2"/>
  <c r="AA92" i="2"/>
  <c r="AI92" i="2"/>
  <c r="AQ92" i="2"/>
  <c r="AY92" i="2"/>
  <c r="BG92" i="2"/>
  <c r="BO92" i="2"/>
  <c r="BW92" i="2"/>
  <c r="CE92" i="2"/>
  <c r="CM92" i="2"/>
  <c r="R83" i="2"/>
  <c r="Z83" i="2"/>
  <c r="AH83" i="2"/>
  <c r="AP83" i="2"/>
  <c r="AX83" i="2"/>
  <c r="BF83" i="2"/>
  <c r="BN83" i="2"/>
  <c r="BV83" i="2"/>
  <c r="CD83" i="2"/>
  <c r="CL83" i="2"/>
  <c r="AU97" i="2"/>
  <c r="CA97" i="2"/>
  <c r="N79" i="2"/>
  <c r="V79" i="2"/>
  <c r="AL79" i="2"/>
  <c r="BB79" i="2"/>
  <c r="BJ79" i="2"/>
  <c r="BZ79" i="2"/>
  <c r="M80" i="2"/>
  <c r="U80" i="2"/>
  <c r="AK80" i="2"/>
  <c r="BA80" i="2"/>
  <c r="BI80" i="2"/>
  <c r="BY80" i="2"/>
  <c r="L96" i="2"/>
  <c r="T96" i="2"/>
  <c r="AJ96" i="2"/>
  <c r="AZ96" i="2"/>
  <c r="BH96" i="2"/>
  <c r="BX96" i="2"/>
  <c r="K76" i="2"/>
  <c r="S76" i="2"/>
  <c r="AI76" i="2"/>
  <c r="AY76" i="2"/>
  <c r="BG76" i="2"/>
  <c r="BW76" i="2"/>
  <c r="CM76" i="2"/>
  <c r="R77" i="2"/>
  <c r="AH77" i="2"/>
  <c r="AP77" i="2"/>
  <c r="BF77" i="2"/>
  <c r="BV77" i="2"/>
  <c r="CD77" i="2"/>
  <c r="Q84" i="2"/>
  <c r="AG84" i="2"/>
  <c r="AO84" i="2"/>
  <c r="BE84" i="2"/>
  <c r="J125" i="1"/>
  <c r="U57" i="2"/>
  <c r="BX24" i="2"/>
  <c r="AV35" i="2"/>
  <c r="K18" i="2"/>
  <c r="CE65" i="2"/>
  <c r="AN28" i="2"/>
  <c r="AW42" i="2"/>
  <c r="CF23" i="2"/>
  <c r="Y39" i="2"/>
  <c r="BW9" i="2"/>
  <c r="CL38" i="2"/>
  <c r="K49" i="2"/>
  <c r="BA55" i="2"/>
  <c r="CH11" i="2"/>
  <c r="BX62" i="2"/>
  <c r="BO27" i="2"/>
  <c r="AO31" i="2"/>
  <c r="AT34" i="2"/>
  <c r="AV14" i="2"/>
  <c r="AR15" i="2"/>
  <c r="BK46" i="2"/>
  <c r="AL46" i="2"/>
  <c r="S47" i="2"/>
  <c r="CF22" i="2"/>
  <c r="I112" i="1"/>
  <c r="BW48" i="2"/>
  <c r="BL48" i="2"/>
  <c r="AV72" i="2"/>
  <c r="AS72" i="2"/>
  <c r="CG66" i="2"/>
  <c r="Q71" i="2"/>
  <c r="CL71" i="2"/>
  <c r="M26" i="2"/>
  <c r="BW36" i="2"/>
  <c r="M56" i="2"/>
  <c r="T57" i="2"/>
  <c r="N59" i="2"/>
  <c r="BY60" i="2"/>
  <c r="BE60" i="2"/>
  <c r="BF63" i="2"/>
  <c r="V63" i="2"/>
  <c r="AP35" i="2"/>
  <c r="BA64" i="2"/>
  <c r="AL41" i="2"/>
  <c r="BB65" i="2"/>
  <c r="BM28" i="2"/>
  <c r="P54" i="2"/>
  <c r="CA68" i="2"/>
  <c r="BZ68" i="2"/>
  <c r="BY68" i="2"/>
  <c r="K44" i="2"/>
  <c r="CG42" i="2"/>
  <c r="AX61" i="2"/>
  <c r="BX39" i="2"/>
  <c r="AY69" i="2"/>
  <c r="AX69" i="2"/>
  <c r="AS69" i="2"/>
  <c r="AN69" i="2"/>
  <c r="BE38" i="2"/>
  <c r="BX43" i="2"/>
  <c r="BN55" i="2"/>
  <c r="BR55" i="2"/>
  <c r="CK62" i="2"/>
  <c r="W62" i="2"/>
  <c r="BE67" i="2"/>
  <c r="AZ67" i="2"/>
  <c r="AY67" i="2"/>
  <c r="AX67" i="2"/>
  <c r="BO34" i="2"/>
  <c r="AG46" i="2"/>
  <c r="Z70" i="2"/>
  <c r="AG70" i="2"/>
  <c r="AJ70" i="2"/>
  <c r="AU70" i="2"/>
  <c r="AJ47" i="2"/>
  <c r="CG58" i="2"/>
  <c r="AA58" i="2"/>
  <c r="K78" i="2"/>
  <c r="AC78" i="2"/>
  <c r="AV78" i="2"/>
  <c r="BN78" i="2"/>
  <c r="CF78" i="2"/>
  <c r="V90" i="2"/>
  <c r="AN90" i="2"/>
  <c r="BF90" i="2"/>
  <c r="BX90" i="2"/>
  <c r="N99" i="2"/>
  <c r="AF99" i="2"/>
  <c r="AX99" i="2"/>
  <c r="BQ99" i="2"/>
  <c r="CG99" i="2"/>
  <c r="P74" i="2"/>
  <c r="AA74" i="2"/>
  <c r="AK74" i="2"/>
  <c r="AV74" i="2"/>
  <c r="BG74" i="2"/>
  <c r="BQ74" i="2"/>
  <c r="CB74" i="2"/>
  <c r="CM74" i="2"/>
  <c r="T98" i="2"/>
  <c r="AE98" i="2"/>
  <c r="AP98" i="2"/>
  <c r="AZ98" i="2"/>
  <c r="BK98" i="2"/>
  <c r="BV98" i="2"/>
  <c r="CF98" i="2"/>
  <c r="N91" i="2"/>
  <c r="Y91" i="2"/>
  <c r="AI91" i="2"/>
  <c r="AT91" i="2"/>
  <c r="BE91" i="2"/>
  <c r="BO91" i="2"/>
  <c r="BZ91" i="2"/>
  <c r="CK91" i="2"/>
  <c r="R94" i="2"/>
  <c r="AC94" i="2"/>
  <c r="AN94" i="2"/>
  <c r="AX94" i="2"/>
  <c r="BI94" i="2"/>
  <c r="BT94" i="2"/>
  <c r="CD94" i="2"/>
  <c r="L81" i="2"/>
  <c r="W81" i="2"/>
  <c r="AG81" i="2"/>
  <c r="AR81" i="2"/>
  <c r="BC81" i="2"/>
  <c r="BM81" i="2"/>
  <c r="BX81" i="2"/>
  <c r="CI81" i="2"/>
  <c r="P87" i="2"/>
  <c r="AA87" i="2"/>
  <c r="AL87" i="2"/>
  <c r="AV87" i="2"/>
  <c r="BG87" i="2"/>
  <c r="BR87" i="2"/>
  <c r="CA87" i="2"/>
  <c r="CJ87" i="2"/>
  <c r="P89" i="2"/>
  <c r="Y89" i="2"/>
  <c r="AH89" i="2"/>
  <c r="AQ89" i="2"/>
  <c r="BA89" i="2"/>
  <c r="BJ89" i="2"/>
  <c r="BS89" i="2"/>
  <c r="CB89" i="2"/>
  <c r="CK89" i="2"/>
  <c r="Q95" i="2"/>
  <c r="Z95" i="2"/>
  <c r="AH95" i="2"/>
  <c r="AP95" i="2"/>
  <c r="AX95" i="2"/>
  <c r="BF95" i="2"/>
  <c r="BN95" i="2"/>
  <c r="BV95" i="2"/>
  <c r="CD95" i="2"/>
  <c r="CL95" i="2"/>
  <c r="Q93" i="2"/>
  <c r="Y93" i="2"/>
  <c r="AG93" i="2"/>
  <c r="AO93" i="2"/>
  <c r="AW93" i="2"/>
  <c r="BE93" i="2"/>
  <c r="BM93" i="2"/>
  <c r="BU93" i="2"/>
  <c r="CC93" i="2"/>
  <c r="CK93" i="2"/>
  <c r="P86" i="2"/>
  <c r="X86" i="2"/>
  <c r="AF86" i="2"/>
  <c r="AN86" i="2"/>
  <c r="AV86" i="2"/>
  <c r="BD86" i="2"/>
  <c r="BL86" i="2"/>
  <c r="BT86" i="2"/>
  <c r="CB86" i="2"/>
  <c r="CJ86" i="2"/>
  <c r="O97" i="2"/>
  <c r="W97" i="2"/>
  <c r="AE97" i="2"/>
  <c r="AM97" i="2"/>
  <c r="BC97" i="2"/>
  <c r="BK97" i="2"/>
  <c r="BS97" i="2"/>
  <c r="CI97" i="2"/>
  <c r="AD79" i="2"/>
  <c r="AT79" i="2"/>
  <c r="BR79" i="2"/>
  <c r="CH79" i="2"/>
  <c r="AC80" i="2"/>
  <c r="AS80" i="2"/>
  <c r="BQ80" i="2"/>
  <c r="CG80" i="2"/>
  <c r="AB96" i="2"/>
  <c r="AR96" i="2"/>
  <c r="BP96" i="2"/>
  <c r="CF96" i="2"/>
  <c r="AA76" i="2"/>
  <c r="AQ76" i="2"/>
  <c r="BO76" i="2"/>
  <c r="CE76" i="2"/>
  <c r="Z77" i="2"/>
  <c r="AX77" i="2"/>
  <c r="BN77" i="2"/>
  <c r="CL77" i="2"/>
  <c r="Y84" i="2"/>
  <c r="AW84" i="2"/>
  <c r="M43" i="1"/>
  <c r="BL17" i="2"/>
  <c r="BK60" i="2"/>
  <c r="CG35" i="2"/>
  <c r="BB18" i="2"/>
  <c r="AM65" i="2"/>
  <c r="BZ28" i="2"/>
  <c r="AY42" i="2"/>
  <c r="BK23" i="2"/>
  <c r="BQ13" i="2"/>
  <c r="AA9" i="2"/>
  <c r="BR38" i="2"/>
  <c r="P43" i="2"/>
  <c r="AC55" i="2"/>
  <c r="BR11" i="2"/>
  <c r="BH62" i="2"/>
  <c r="AU27" i="2"/>
  <c r="U31" i="2"/>
  <c r="Z34" i="2"/>
  <c r="X14" i="2"/>
  <c r="L15" i="2"/>
  <c r="AM46" i="2"/>
  <c r="AD46" i="2"/>
  <c r="CG47" i="2"/>
  <c r="BH22" i="2"/>
  <c r="BM58" i="2"/>
  <c r="AA48" i="2"/>
  <c r="BD48" i="2"/>
  <c r="AF72" i="2"/>
  <c r="AG72" i="2"/>
  <c r="BI66" i="2"/>
  <c r="CF71" i="2"/>
  <c r="BF71" i="2"/>
  <c r="BQ32" i="2"/>
  <c r="AQ36" i="2"/>
  <c r="BD57" i="2"/>
  <c r="AX53" i="2"/>
  <c r="BX59" i="2"/>
  <c r="BA60" i="2"/>
  <c r="AG60" i="2"/>
  <c r="AP63" i="2"/>
  <c r="BN37" i="2"/>
  <c r="BU64" i="2"/>
  <c r="AK64" i="2"/>
  <c r="AB33" i="2"/>
  <c r="AD65" i="2"/>
  <c r="CG54" i="2"/>
  <c r="BX68" i="2"/>
  <c r="BS68" i="2"/>
  <c r="BR68" i="2"/>
  <c r="BI68" i="2"/>
  <c r="BS44" i="2"/>
  <c r="BA42" i="2"/>
  <c r="R61" i="2"/>
  <c r="AR39" i="2"/>
  <c r="AM69" i="2"/>
  <c r="AP69" i="2"/>
  <c r="AG69" i="2"/>
  <c r="AB69" i="2"/>
  <c r="Y38" i="2"/>
  <c r="AR43" i="2"/>
  <c r="AP55" i="2"/>
  <c r="BB55" i="2"/>
  <c r="BU62" i="2"/>
  <c r="BN27" i="2"/>
  <c r="AQ67" i="2"/>
  <c r="AP67" i="2"/>
  <c r="AN67" i="2"/>
  <c r="AH67" i="2"/>
  <c r="CM34" i="2"/>
  <c r="CL70" i="2"/>
  <c r="R70" i="2"/>
  <c r="U70" i="2"/>
  <c r="AB70" i="2"/>
  <c r="AM70" i="2"/>
  <c r="BL47" i="2"/>
  <c r="BQ58" i="2"/>
  <c r="K58" i="2"/>
  <c r="M78" i="2"/>
  <c r="AF78" i="2"/>
  <c r="AX78" i="2"/>
  <c r="BP78" i="2"/>
  <c r="CI78" i="2"/>
  <c r="X90" i="2"/>
  <c r="AP90" i="2"/>
  <c r="BH90" i="2"/>
  <c r="CA90" i="2"/>
  <c r="P99" i="2"/>
  <c r="AH99" i="2"/>
  <c r="BA99" i="2"/>
  <c r="BS99" i="2"/>
  <c r="CI99" i="2"/>
  <c r="S74" i="2"/>
  <c r="AC74" i="2"/>
  <c r="AN74" i="2"/>
  <c r="AY74" i="2"/>
  <c r="BI74" i="2"/>
  <c r="BT74" i="2"/>
  <c r="CE74" i="2"/>
  <c r="L98" i="2"/>
  <c r="W98" i="2"/>
  <c r="AH98" i="2"/>
  <c r="AR98" i="2"/>
  <c r="BC98" i="2"/>
  <c r="BN98" i="2"/>
  <c r="BX98" i="2"/>
  <c r="CI98" i="2"/>
  <c r="Q91" i="2"/>
  <c r="AA91" i="2"/>
  <c r="AL91" i="2"/>
  <c r="AW91" i="2"/>
  <c r="BG91" i="2"/>
  <c r="BR91" i="2"/>
  <c r="CC91" i="2"/>
  <c r="CM91" i="2"/>
  <c r="U94" i="2"/>
  <c r="AF94" i="2"/>
  <c r="AP94" i="2"/>
  <c r="BA94" i="2"/>
  <c r="BL94" i="2"/>
  <c r="BV94" i="2"/>
  <c r="CG94" i="2"/>
  <c r="O81" i="2"/>
  <c r="Y81" i="2"/>
  <c r="AJ81" i="2"/>
  <c r="AU81" i="2"/>
  <c r="BE81" i="2"/>
  <c r="BP81" i="2"/>
  <c r="CA81" i="2"/>
  <c r="CK81" i="2"/>
  <c r="S87" i="2"/>
  <c r="AD87" i="2"/>
  <c r="AN87" i="2"/>
  <c r="AY87" i="2"/>
  <c r="BJ87" i="2"/>
  <c r="BT87" i="2"/>
  <c r="CC87" i="2"/>
  <c r="CL87" i="2"/>
  <c r="R89" i="2"/>
  <c r="AA89" i="2"/>
  <c r="AK89" i="2"/>
  <c r="AT89" i="2"/>
  <c r="BC89" i="2"/>
  <c r="BL89" i="2"/>
  <c r="BU89" i="2"/>
  <c r="CD89" i="2"/>
  <c r="CM89" i="2"/>
  <c r="T95" i="2"/>
  <c r="AB95" i="2"/>
  <c r="AJ95" i="2"/>
  <c r="AR95" i="2"/>
  <c r="AZ95" i="2"/>
  <c r="BH95" i="2"/>
  <c r="BP95" i="2"/>
  <c r="BX95" i="2"/>
  <c r="CF95" i="2"/>
  <c r="K93" i="2"/>
  <c r="S93" i="2"/>
  <c r="AA93" i="2"/>
  <c r="AI93" i="2"/>
  <c r="AQ93" i="2"/>
  <c r="AY93" i="2"/>
  <c r="BG93" i="2"/>
  <c r="BO93" i="2"/>
  <c r="BW93" i="2"/>
  <c r="CE93" i="2"/>
  <c r="CM93" i="2"/>
  <c r="R86" i="2"/>
  <c r="Z86" i="2"/>
  <c r="AH86" i="2"/>
  <c r="AP86" i="2"/>
  <c r="AX86" i="2"/>
  <c r="BF86" i="2"/>
  <c r="BN86" i="2"/>
  <c r="BV86" i="2"/>
  <c r="CD86" i="2"/>
  <c r="CL86" i="2"/>
  <c r="Q97" i="2"/>
  <c r="Y97" i="2"/>
  <c r="AG97" i="2"/>
  <c r="AO97" i="2"/>
  <c r="AW97" i="2"/>
  <c r="BE97" i="2"/>
  <c r="BM97" i="2"/>
  <c r="BU97" i="2"/>
  <c r="CC97" i="2"/>
  <c r="CK97" i="2"/>
  <c r="P79" i="2"/>
  <c r="X79" i="2"/>
  <c r="AF79" i="2"/>
  <c r="AN79" i="2"/>
  <c r="AV79" i="2"/>
  <c r="BD79" i="2"/>
  <c r="BL79" i="2"/>
  <c r="BT79" i="2"/>
  <c r="CB79" i="2"/>
  <c r="CJ79" i="2"/>
  <c r="O80" i="2"/>
  <c r="W80" i="2"/>
  <c r="AE80" i="2"/>
  <c r="AM80" i="2"/>
  <c r="AU80" i="2"/>
  <c r="BC80" i="2"/>
  <c r="BK80" i="2"/>
  <c r="BS80" i="2"/>
  <c r="CA80" i="2"/>
  <c r="CI80" i="2"/>
  <c r="N96" i="2"/>
  <c r="V96" i="2"/>
  <c r="AD96" i="2"/>
  <c r="AL96" i="2"/>
  <c r="AT96" i="2"/>
  <c r="BB96" i="2"/>
  <c r="BJ96" i="2"/>
  <c r="BR96" i="2"/>
  <c r="BZ96" i="2"/>
  <c r="CH96" i="2"/>
  <c r="M76" i="2"/>
  <c r="U76" i="2"/>
  <c r="AC76" i="2"/>
  <c r="AK76" i="2"/>
  <c r="AS76" i="2"/>
  <c r="BA76" i="2"/>
  <c r="BI76" i="2"/>
  <c r="BQ76" i="2"/>
  <c r="BY76" i="2"/>
  <c r="CG76" i="2"/>
  <c r="L77" i="2"/>
  <c r="T77" i="2"/>
  <c r="AB77" i="2"/>
  <c r="AJ77" i="2"/>
  <c r="AR77" i="2"/>
  <c r="AZ77" i="2"/>
  <c r="BH77" i="2"/>
  <c r="BP77" i="2"/>
  <c r="BX77" i="2"/>
  <c r="CF77" i="2"/>
  <c r="K84" i="2"/>
  <c r="S84" i="2"/>
  <c r="AA84" i="2"/>
  <c r="AI84" i="2"/>
  <c r="AQ84" i="2"/>
  <c r="AY84" i="2"/>
  <c r="BG84" i="2"/>
  <c r="BO84" i="2"/>
  <c r="BW84" i="2"/>
  <c r="CE84" i="2"/>
  <c r="CM84" i="2"/>
  <c r="R75" i="2"/>
  <c r="Z75" i="2"/>
  <c r="AH75" i="2"/>
  <c r="AP75" i="2"/>
  <c r="AX75" i="2"/>
  <c r="BF75" i="2"/>
  <c r="BN75" i="2"/>
  <c r="BV75" i="2"/>
  <c r="CD75" i="2"/>
  <c r="CL75" i="2"/>
  <c r="Q85" i="2"/>
  <c r="Y85" i="2"/>
  <c r="AG85" i="2"/>
  <c r="AO85" i="2"/>
  <c r="AW85" i="2"/>
  <c r="BE85" i="2"/>
  <c r="BM85" i="2"/>
  <c r="BU85" i="2"/>
  <c r="CC85" i="2"/>
  <c r="CK85" i="2"/>
  <c r="P88" i="2"/>
  <c r="X88" i="2"/>
  <c r="AF88" i="2"/>
  <c r="AN88" i="2"/>
  <c r="AV88" i="2"/>
  <c r="BD88" i="2"/>
  <c r="BL88" i="2"/>
  <c r="BT88" i="2"/>
  <c r="CB88" i="2"/>
  <c r="CJ88" i="2"/>
  <c r="O82" i="2"/>
  <c r="W82" i="2"/>
  <c r="AE82" i="2"/>
  <c r="AM82" i="2"/>
  <c r="AU82" i="2"/>
  <c r="BC82" i="2"/>
  <c r="BK82" i="2"/>
  <c r="BS82" i="2"/>
  <c r="CA82" i="2"/>
  <c r="CI82" i="2"/>
  <c r="N92" i="2"/>
  <c r="V92" i="2"/>
  <c r="AD92" i="2"/>
  <c r="AL92" i="2"/>
  <c r="AT92" i="2"/>
  <c r="BB92" i="2"/>
  <c r="BJ92" i="2"/>
  <c r="BR92" i="2"/>
  <c r="BZ92" i="2"/>
  <c r="CH92" i="2"/>
  <c r="M83" i="2"/>
  <c r="U83" i="2"/>
  <c r="AC83" i="2"/>
  <c r="AK83" i="2"/>
  <c r="AS83" i="2"/>
  <c r="BA83" i="2"/>
  <c r="BI83" i="2"/>
  <c r="BQ83" i="2"/>
  <c r="BY83" i="2"/>
  <c r="CG83" i="2"/>
  <c r="U25" i="2"/>
  <c r="BK10" i="2"/>
  <c r="BP50" i="2"/>
  <c r="T64" i="2"/>
  <c r="AW41" i="2"/>
  <c r="CB8" i="2"/>
  <c r="BC54" i="2"/>
  <c r="L42" i="2"/>
  <c r="V23" i="2"/>
  <c r="W13" i="2"/>
  <c r="BV9" i="2"/>
  <c r="BH49" i="2"/>
  <c r="CE43" i="2"/>
  <c r="AA55" i="2"/>
  <c r="BP11" i="2"/>
  <c r="CH27" i="2"/>
  <c r="AC67" i="2"/>
  <c r="AA31" i="2"/>
  <c r="AB34" i="2"/>
  <c r="N14" i="2"/>
  <c r="AA15" i="2"/>
  <c r="K46" i="2"/>
  <c r="AT47" i="2"/>
  <c r="Y47" i="2"/>
  <c r="BG22" i="2"/>
  <c r="BN58" i="2"/>
  <c r="BU48" i="2"/>
  <c r="AI52" i="2"/>
  <c r="BC72" i="2"/>
  <c r="BP51" i="2"/>
  <c r="AY66" i="2"/>
  <c r="AB71" i="2"/>
  <c r="V71" i="2"/>
  <c r="AE40" i="2"/>
  <c r="CI56" i="2"/>
  <c r="BV32" i="2"/>
  <c r="T16" i="2"/>
  <c r="AJ63" i="2"/>
  <c r="CK21" i="2"/>
  <c r="S41" i="2"/>
  <c r="BY8" i="2"/>
  <c r="R54" i="2"/>
  <c r="CH61" i="2"/>
  <c r="Q23" i="2"/>
  <c r="L13" i="2"/>
  <c r="CG38" i="2"/>
  <c r="AF49" i="2"/>
  <c r="W43" i="2"/>
  <c r="CG11" i="2"/>
  <c r="T11" i="2"/>
  <c r="AF27" i="2"/>
  <c r="BN31" i="2"/>
  <c r="CA34" i="2"/>
  <c r="CC14" i="2"/>
  <c r="Q15" i="2"/>
  <c r="BZ15" i="2"/>
  <c r="BH46" i="2"/>
  <c r="BN47" i="2"/>
  <c r="BU22" i="2"/>
  <c r="AA22" i="2"/>
  <c r="AH58" i="2"/>
  <c r="CL48" i="2"/>
  <c r="BW52" i="2"/>
  <c r="W72" i="2"/>
  <c r="P51" i="2"/>
  <c r="BY66" i="2"/>
  <c r="CA71" i="2"/>
  <c r="BV45" i="2"/>
  <c r="BG40" i="2"/>
  <c r="BS56" i="2"/>
  <c r="AT57" i="2"/>
  <c r="BV53" i="2"/>
  <c r="CL59" i="2"/>
  <c r="BO60" i="2"/>
  <c r="BM50" i="2"/>
  <c r="AV63" i="2"/>
  <c r="CL37" i="2"/>
  <c r="CA64" i="2"/>
  <c r="BZ41" i="2"/>
  <c r="BL65" i="2"/>
  <c r="AB65" i="2"/>
  <c r="BI54" i="2"/>
  <c r="AN68" i="2"/>
  <c r="AM68" i="2"/>
  <c r="AL68" i="2"/>
  <c r="AC68" i="2"/>
  <c r="S44" i="2"/>
  <c r="AR61" i="2"/>
  <c r="AV61" i="2"/>
  <c r="CM69" i="2"/>
  <c r="CL69" i="2"/>
  <c r="CK69" i="2"/>
  <c r="CB69" i="2"/>
  <c r="AG38" i="2"/>
  <c r="BN49" i="2"/>
  <c r="X43" i="2"/>
  <c r="BT55" i="2"/>
  <c r="BW62" i="2"/>
  <c r="Q62" i="2"/>
  <c r="M27" i="2"/>
  <c r="CJ67" i="2"/>
  <c r="CI67" i="2"/>
  <c r="CH67" i="2"/>
  <c r="AD31" i="2"/>
  <c r="Y46" i="2"/>
  <c r="BJ70" i="2"/>
  <c r="BQ70" i="2"/>
  <c r="BT70" i="2"/>
  <c r="CE70" i="2"/>
  <c r="K70" i="2"/>
  <c r="CI58" i="2"/>
  <c r="M58" i="2"/>
  <c r="BO48" i="2"/>
  <c r="T78" i="2"/>
  <c r="AM78" i="2"/>
  <c r="BE78" i="2"/>
  <c r="BW78" i="2"/>
  <c r="L90" i="2"/>
  <c r="AE90" i="2"/>
  <c r="AW90" i="2"/>
  <c r="BO90" i="2"/>
  <c r="CH90" i="2"/>
  <c r="W99" i="2"/>
  <c r="AO99" i="2"/>
  <c r="BG99" i="2"/>
  <c r="BY99" i="2"/>
  <c r="K74" i="2"/>
  <c r="U74" i="2"/>
  <c r="AF74" i="2"/>
  <c r="AQ74" i="2"/>
  <c r="BA74" i="2"/>
  <c r="BL74" i="2"/>
  <c r="BW74" i="2"/>
  <c r="CG74" i="2"/>
  <c r="O98" i="2"/>
  <c r="Z98" i="2"/>
  <c r="AJ98" i="2"/>
  <c r="AU98" i="2"/>
  <c r="BF98" i="2"/>
  <c r="BP98" i="2"/>
  <c r="CA98" i="2"/>
  <c r="CL98" i="2"/>
  <c r="S91" i="2"/>
  <c r="AD91" i="2"/>
  <c r="AO91" i="2"/>
  <c r="AY91" i="2"/>
  <c r="BJ91" i="2"/>
  <c r="BU91" i="2"/>
  <c r="CE91" i="2"/>
  <c r="M94" i="2"/>
  <c r="X94" i="2"/>
  <c r="AH94" i="2"/>
  <c r="AS94" i="2"/>
  <c r="BD94" i="2"/>
  <c r="BN94" i="2"/>
  <c r="BY94" i="2"/>
  <c r="CJ94" i="2"/>
  <c r="Q81" i="2"/>
  <c r="AB81" i="2"/>
  <c r="AM81" i="2"/>
  <c r="AW81" i="2"/>
  <c r="BH81" i="2"/>
  <c r="BS81" i="2"/>
  <c r="CC81" i="2"/>
  <c r="K87" i="2"/>
  <c r="V87" i="2"/>
  <c r="AF87" i="2"/>
  <c r="AQ87" i="2"/>
  <c r="BB87" i="2"/>
  <c r="BL87" i="2"/>
  <c r="BV87" i="2"/>
  <c r="CE87" i="2"/>
  <c r="K89" i="2"/>
  <c r="U89" i="2"/>
  <c r="AD89" i="2"/>
  <c r="AM89" i="2"/>
  <c r="AV89" i="2"/>
  <c r="BE89" i="2"/>
  <c r="BN89" i="2"/>
  <c r="BW89" i="2"/>
  <c r="CG89" i="2"/>
  <c r="M95" i="2"/>
  <c r="V95" i="2"/>
  <c r="AD95" i="2"/>
  <c r="AL95" i="2"/>
  <c r="AT95" i="2"/>
  <c r="BB95" i="2"/>
  <c r="BJ95" i="2"/>
  <c r="BR95" i="2"/>
  <c r="BZ95" i="2"/>
  <c r="CH95" i="2"/>
  <c r="M93" i="2"/>
  <c r="U93" i="2"/>
  <c r="AC93" i="2"/>
  <c r="AK93" i="2"/>
  <c r="AS93" i="2"/>
  <c r="BA93" i="2"/>
  <c r="BI93" i="2"/>
  <c r="BQ93" i="2"/>
  <c r="BY93" i="2"/>
  <c r="CG93" i="2"/>
  <c r="L86" i="2"/>
  <c r="T86" i="2"/>
  <c r="AB86" i="2"/>
  <c r="AJ86" i="2"/>
  <c r="AR86" i="2"/>
  <c r="AZ86" i="2"/>
  <c r="BH86" i="2"/>
  <c r="BP86" i="2"/>
  <c r="BX86" i="2"/>
  <c r="CF86" i="2"/>
  <c r="K97" i="2"/>
  <c r="S97" i="2"/>
  <c r="AA97" i="2"/>
  <c r="AI97" i="2"/>
  <c r="AQ97" i="2"/>
  <c r="AY97" i="2"/>
  <c r="BG97" i="2"/>
  <c r="BO97" i="2"/>
  <c r="BW97" i="2"/>
  <c r="CE97" i="2"/>
  <c r="CM97" i="2"/>
  <c r="R79" i="2"/>
  <c r="Z79" i="2"/>
  <c r="AH79" i="2"/>
  <c r="AP79" i="2"/>
  <c r="AX79" i="2"/>
  <c r="BF79" i="2"/>
  <c r="BN79" i="2"/>
  <c r="BV79" i="2"/>
  <c r="CD79" i="2"/>
  <c r="CL79" i="2"/>
  <c r="Q80" i="2"/>
  <c r="Y80" i="2"/>
  <c r="AG80" i="2"/>
  <c r="AO80" i="2"/>
  <c r="AW80" i="2"/>
  <c r="BE80" i="2"/>
  <c r="BM80" i="2"/>
  <c r="BU80" i="2"/>
  <c r="CC80" i="2"/>
  <c r="CK80" i="2"/>
  <c r="P96" i="2"/>
  <c r="X96" i="2"/>
  <c r="AF96" i="2"/>
  <c r="AN96" i="2"/>
  <c r="AV96" i="2"/>
  <c r="BD96" i="2"/>
  <c r="BL96" i="2"/>
  <c r="BT96" i="2"/>
  <c r="CB96" i="2"/>
  <c r="CJ96" i="2"/>
  <c r="O76" i="2"/>
  <c r="W76" i="2"/>
  <c r="AE76" i="2"/>
  <c r="AM76" i="2"/>
  <c r="AU76" i="2"/>
  <c r="BC76" i="2"/>
  <c r="BK76" i="2"/>
  <c r="BS76" i="2"/>
  <c r="CA76" i="2"/>
  <c r="CI76" i="2"/>
  <c r="N77" i="2"/>
  <c r="V77" i="2"/>
  <c r="AD77" i="2"/>
  <c r="AL77" i="2"/>
  <c r="AT77" i="2"/>
  <c r="BB77" i="2"/>
  <c r="BJ77" i="2"/>
  <c r="BR77" i="2"/>
  <c r="BZ77" i="2"/>
  <c r="CH77" i="2"/>
  <c r="M84" i="2"/>
  <c r="U84" i="2"/>
  <c r="AC84" i="2"/>
  <c r="AK84" i="2"/>
  <c r="AS84" i="2"/>
  <c r="BA84" i="2"/>
  <c r="BI84" i="2"/>
  <c r="BQ84" i="2"/>
  <c r="BY84" i="2"/>
  <c r="CG84" i="2"/>
  <c r="L75" i="2"/>
  <c r="T75" i="2"/>
  <c r="AB75" i="2"/>
  <c r="AJ75" i="2"/>
  <c r="AR75" i="2"/>
  <c r="AZ75" i="2"/>
  <c r="BH75" i="2"/>
  <c r="BP75" i="2"/>
  <c r="BY20" i="2"/>
  <c r="CK35" i="2"/>
  <c r="AK8" i="2"/>
  <c r="CH39" i="2"/>
  <c r="BV38" i="2"/>
  <c r="CA11" i="2"/>
  <c r="R31" i="2"/>
  <c r="AF14" i="2"/>
  <c r="AV46" i="2"/>
  <c r="W22" i="2"/>
  <c r="BH48" i="2"/>
  <c r="BH51" i="2"/>
  <c r="BF45" i="2"/>
  <c r="CJ57" i="2"/>
  <c r="CF59" i="2"/>
  <c r="AW60" i="2"/>
  <c r="N63" i="2"/>
  <c r="AS64" i="2"/>
  <c r="AT65" i="2"/>
  <c r="CJ68" i="2"/>
  <c r="BV68" i="2"/>
  <c r="CI44" i="2"/>
  <c r="AP61" i="2"/>
  <c r="AQ69" i="2"/>
  <c r="AK69" i="2"/>
  <c r="AO38" i="2"/>
  <c r="BF55" i="2"/>
  <c r="CC62" i="2"/>
  <c r="AV67" i="2"/>
  <c r="AT67" i="2"/>
  <c r="AI34" i="2"/>
  <c r="V70" i="2"/>
  <c r="AF70" i="2"/>
  <c r="T47" i="2"/>
  <c r="S58" i="2"/>
  <c r="AE78" i="2"/>
  <c r="BO78" i="2"/>
  <c r="W90" i="2"/>
  <c r="BG90" i="2"/>
  <c r="O99" i="2"/>
  <c r="AY99" i="2"/>
  <c r="CH99" i="2"/>
  <c r="AB74" i="2"/>
  <c r="AW74" i="2"/>
  <c r="BR74" i="2"/>
  <c r="K98" i="2"/>
  <c r="AF98" i="2"/>
  <c r="BA98" i="2"/>
  <c r="BW98" i="2"/>
  <c r="O91" i="2"/>
  <c r="AJ91" i="2"/>
  <c r="BF91" i="2"/>
  <c r="CA91" i="2"/>
  <c r="S94" i="2"/>
  <c r="AO94" i="2"/>
  <c r="BJ94" i="2"/>
  <c r="CE94" i="2"/>
  <c r="X81" i="2"/>
  <c r="AS81" i="2"/>
  <c r="BN81" i="2"/>
  <c r="CJ81" i="2"/>
  <c r="AB87" i="2"/>
  <c r="AW87" i="2"/>
  <c r="BS87" i="2"/>
  <c r="CK87" i="2"/>
  <c r="Z89" i="2"/>
  <c r="AS89" i="2"/>
  <c r="BK89" i="2"/>
  <c r="CC89" i="2"/>
  <c r="R95" i="2"/>
  <c r="AI95" i="2"/>
  <c r="AY95" i="2"/>
  <c r="BO95" i="2"/>
  <c r="CE95" i="2"/>
  <c r="R93" i="2"/>
  <c r="AH93" i="2"/>
  <c r="AX93" i="2"/>
  <c r="BN93" i="2"/>
  <c r="CD93" i="2"/>
  <c r="Q86" i="2"/>
  <c r="AG86" i="2"/>
  <c r="AW86" i="2"/>
  <c r="BM86" i="2"/>
  <c r="CC86" i="2"/>
  <c r="P97" i="2"/>
  <c r="AF97" i="2"/>
  <c r="AV97" i="2"/>
  <c r="BL97" i="2"/>
  <c r="CB97" i="2"/>
  <c r="O79" i="2"/>
  <c r="AE79" i="2"/>
  <c r="AU79" i="2"/>
  <c r="BK79" i="2"/>
  <c r="CA79" i="2"/>
  <c r="N80" i="2"/>
  <c r="AD80" i="2"/>
  <c r="AT80" i="2"/>
  <c r="BJ80" i="2"/>
  <c r="BZ80" i="2"/>
  <c r="M96" i="2"/>
  <c r="AC96" i="2"/>
  <c r="AS96" i="2"/>
  <c r="BI96" i="2"/>
  <c r="BY96" i="2"/>
  <c r="L76" i="2"/>
  <c r="AB76" i="2"/>
  <c r="AR76" i="2"/>
  <c r="BH76" i="2"/>
  <c r="BX76" i="2"/>
  <c r="K77" i="2"/>
  <c r="AA77" i="2"/>
  <c r="AQ77" i="2"/>
  <c r="BG77" i="2"/>
  <c r="BW77" i="2"/>
  <c r="CM77" i="2"/>
  <c r="Z84" i="2"/>
  <c r="AP84" i="2"/>
  <c r="BF84" i="2"/>
  <c r="BS84" i="2"/>
  <c r="CF84" i="2"/>
  <c r="P75" i="2"/>
  <c r="AC75" i="2"/>
  <c r="AO75" i="2"/>
  <c r="BB75" i="2"/>
  <c r="BO75" i="2"/>
  <c r="BZ75" i="2"/>
  <c r="CK75" i="2"/>
  <c r="S85" i="2"/>
  <c r="AC85" i="2"/>
  <c r="AN85" i="2"/>
  <c r="AY85" i="2"/>
  <c r="BI85" i="2"/>
  <c r="BT85" i="2"/>
  <c r="CE85" i="2"/>
  <c r="L88" i="2"/>
  <c r="W88" i="2"/>
  <c r="AH88" i="2"/>
  <c r="AR88" i="2"/>
  <c r="BC88" i="2"/>
  <c r="BN88" i="2"/>
  <c r="BX88" i="2"/>
  <c r="CI88" i="2"/>
  <c r="Q82" i="2"/>
  <c r="AA82" i="2"/>
  <c r="AL82" i="2"/>
  <c r="AW82" i="2"/>
  <c r="BG82" i="2"/>
  <c r="BR82" i="2"/>
  <c r="CC82" i="2"/>
  <c r="CM82" i="2"/>
  <c r="U92" i="2"/>
  <c r="AF92" i="2"/>
  <c r="AP92" i="2"/>
  <c r="BA92" i="2"/>
  <c r="BL92" i="2"/>
  <c r="BV92" i="2"/>
  <c r="CG92" i="2"/>
  <c r="O83" i="2"/>
  <c r="Y83" i="2"/>
  <c r="AJ83" i="2"/>
  <c r="AU83" i="2"/>
  <c r="BE83" i="2"/>
  <c r="BP83" i="2"/>
  <c r="CA83" i="2"/>
  <c r="CK83" i="2"/>
  <c r="AD75" i="2"/>
  <c r="BQ75" i="2"/>
  <c r="CM75" i="2"/>
  <c r="AE85" i="2"/>
  <c r="AP85" i="2"/>
  <c r="BK85" i="2"/>
  <c r="CF85" i="2"/>
  <c r="N88" i="2"/>
  <c r="AI88" i="2"/>
  <c r="BE88" i="2"/>
  <c r="BO88" i="2"/>
  <c r="CK88" i="2"/>
  <c r="AC82" i="2"/>
  <c r="AN82" i="2"/>
  <c r="BI82" i="2"/>
  <c r="CD82" i="2"/>
  <c r="L92" i="2"/>
  <c r="AG92" i="2"/>
  <c r="BC92" i="2"/>
  <c r="BM92" i="2"/>
  <c r="CI92" i="2"/>
  <c r="AA83" i="2"/>
  <c r="AL83" i="2"/>
  <c r="BG83" i="2"/>
  <c r="CB83" i="2"/>
  <c r="CM83" i="2"/>
  <c r="S82" i="2"/>
  <c r="AY82" i="2"/>
  <c r="BU82" i="2"/>
  <c r="X92" i="2"/>
  <c r="AS92" i="2"/>
  <c r="BN92" i="2"/>
  <c r="Q83" i="2"/>
  <c r="AM83" i="2"/>
  <c r="BH83" i="2"/>
  <c r="BJ16" i="2"/>
  <c r="BN13" i="2"/>
  <c r="AE34" i="2"/>
  <c r="T15" i="2"/>
  <c r="AJ72" i="2"/>
  <c r="V57" i="2"/>
  <c r="BF59" i="2"/>
  <c r="N41" i="2"/>
  <c r="Z68" i="2"/>
  <c r="AS42" i="2"/>
  <c r="BT69" i="2"/>
  <c r="CA62" i="2"/>
  <c r="CB67" i="2"/>
  <c r="BE70" i="2"/>
  <c r="AI48" i="2"/>
  <c r="AO78" i="2"/>
  <c r="AG90" i="2"/>
  <c r="Y99" i="2"/>
  <c r="M74" i="2"/>
  <c r="BD74" i="2"/>
  <c r="R98" i="2"/>
  <c r="CD98" i="2"/>
  <c r="AQ91" i="2"/>
  <c r="CH91" i="2"/>
  <c r="BQ94" i="2"/>
  <c r="AE81" i="2"/>
  <c r="N87" i="2"/>
  <c r="BD87" i="2"/>
  <c r="N89" i="2"/>
  <c r="BQ89" i="2"/>
  <c r="X95" i="2"/>
  <c r="BD95" i="2"/>
  <c r="W93" i="2"/>
  <c r="BS93" i="2"/>
  <c r="CI93" i="2"/>
  <c r="BB86" i="2"/>
  <c r="U97" i="2"/>
  <c r="AK97" i="2"/>
  <c r="CG97" i="2"/>
  <c r="AZ79" i="2"/>
  <c r="BP79" i="2"/>
  <c r="AI80" i="2"/>
  <c r="CE80" i="2"/>
  <c r="R96" i="2"/>
  <c r="BN96" i="2"/>
  <c r="AG76" i="2"/>
  <c r="AW76" i="2"/>
  <c r="P77" i="2"/>
  <c r="BL77" i="2"/>
  <c r="CB77" i="2"/>
  <c r="AU84" i="2"/>
  <c r="CK84" i="2"/>
  <c r="AT75" i="2"/>
  <c r="BG75" i="2"/>
  <c r="L85" i="2"/>
  <c r="AR85" i="2"/>
  <c r="BC85" i="2"/>
  <c r="CI85" i="2"/>
  <c r="AL88" i="2"/>
  <c r="AW88" i="2"/>
  <c r="CC88" i="2"/>
  <c r="AF82" i="2"/>
  <c r="AP82" i="2"/>
  <c r="BV82" i="2"/>
  <c r="Y92" i="2"/>
  <c r="BE92" i="2"/>
  <c r="CK92" i="2"/>
  <c r="S83" i="2"/>
  <c r="AY83" i="2"/>
  <c r="CE83" i="2"/>
  <c r="CA84" i="2"/>
  <c r="BJ75" i="2"/>
  <c r="Z85" i="2"/>
  <c r="AU85" i="2"/>
  <c r="CL85" i="2"/>
  <c r="AY88" i="2"/>
  <c r="BU88" i="2"/>
  <c r="AH82" i="2"/>
  <c r="BY82" i="2"/>
  <c r="AB92" i="2"/>
  <c r="BH92" i="2"/>
  <c r="V83" i="2"/>
  <c r="AQ83" i="2"/>
  <c r="CH83" i="2"/>
  <c r="AS63" i="2"/>
  <c r="BP27" i="2"/>
  <c r="CD48" i="2"/>
  <c r="BO71" i="2"/>
  <c r="AN63" i="2"/>
  <c r="AE68" i="2"/>
  <c r="AJ61" i="2"/>
  <c r="CF43" i="2"/>
  <c r="CK67" i="2"/>
  <c r="BP70" i="2"/>
  <c r="BF78" i="2"/>
  <c r="AP99" i="2"/>
  <c r="V74" i="2"/>
  <c r="AA98" i="2"/>
  <c r="AE91" i="2"/>
  <c r="BV91" i="2"/>
  <c r="BZ94" i="2"/>
  <c r="CD81" i="2"/>
  <c r="AR87" i="2"/>
  <c r="AN89" i="2"/>
  <c r="AE95" i="2"/>
  <c r="BK95" i="2"/>
  <c r="AT93" i="2"/>
  <c r="AC86" i="2"/>
  <c r="BI86" i="2"/>
  <c r="AR97" i="2"/>
  <c r="AA79" i="2"/>
  <c r="BG79" i="2"/>
  <c r="AP80" i="2"/>
  <c r="Y96" i="2"/>
  <c r="BE96" i="2"/>
  <c r="AN76" i="2"/>
  <c r="W77" i="2"/>
  <c r="BC77" i="2"/>
  <c r="AL84" i="2"/>
  <c r="M75" i="2"/>
  <c r="AL75" i="2"/>
  <c r="CH75" i="2"/>
  <c r="AV85" i="2"/>
  <c r="CM85" i="2"/>
  <c r="AE88" i="2"/>
  <c r="BV88" i="2"/>
  <c r="AI82" i="2"/>
  <c r="BE82" i="2"/>
  <c r="R92" i="2"/>
  <c r="BI92" i="2"/>
  <c r="CD92" i="2"/>
  <c r="AR83" i="2"/>
  <c r="CI83" i="2"/>
  <c r="AO8" i="2"/>
  <c r="AK11" i="2"/>
  <c r="BP22" i="2"/>
  <c r="BX51" i="2"/>
  <c r="AQ60" i="2"/>
  <c r="AC54" i="2"/>
  <c r="U68" i="2"/>
  <c r="BY38" i="2"/>
  <c r="CA67" i="2"/>
  <c r="BB70" i="2"/>
  <c r="W78" i="2"/>
  <c r="CJ90" i="2"/>
  <c r="CA99" i="2"/>
  <c r="CJ74" i="2"/>
  <c r="AG91" i="2"/>
  <c r="BW91" i="2"/>
  <c r="CB94" i="2"/>
  <c r="CF81" i="2"/>
  <c r="AT87" i="2"/>
  <c r="AO89" i="2"/>
  <c r="AF95" i="2"/>
  <c r="BL95" i="2"/>
  <c r="AU93" i="2"/>
  <c r="AD86" i="2"/>
  <c r="BJ86" i="2"/>
  <c r="AS97" i="2"/>
  <c r="AB79" i="2"/>
  <c r="K80" i="2"/>
  <c r="AQ80" i="2"/>
  <c r="BE20" i="2"/>
  <c r="AS21" i="2"/>
  <c r="CH28" i="2"/>
  <c r="BZ39" i="2"/>
  <c r="CG49" i="2"/>
  <c r="BV11" i="2"/>
  <c r="CF31" i="2"/>
  <c r="AG15" i="2"/>
  <c r="AH46" i="2"/>
  <c r="S22" i="2"/>
  <c r="BG52" i="2"/>
  <c r="CB66" i="2"/>
  <c r="Z45" i="2"/>
  <c r="BR57" i="2"/>
  <c r="L59" i="2"/>
  <c r="U50" i="2"/>
  <c r="AD37" i="2"/>
  <c r="U18" i="2"/>
  <c r="AZ65" i="2"/>
  <c r="AZ68" i="2"/>
  <c r="AP68" i="2"/>
  <c r="AI44" i="2"/>
  <c r="BD61" i="2"/>
  <c r="K69" i="2"/>
  <c r="CJ69" i="2"/>
  <c r="CD49" i="2"/>
  <c r="CB55" i="2"/>
  <c r="Y62" i="2"/>
  <c r="P67" i="2"/>
  <c r="CL67" i="2"/>
  <c r="AO46" i="2"/>
  <c r="BU70" i="2"/>
  <c r="CI70" i="2"/>
  <c r="CC22" i="2"/>
  <c r="CE48" i="2"/>
  <c r="AK78" i="2"/>
  <c r="BV78" i="2"/>
  <c r="AD90" i="2"/>
  <c r="BN90" i="2"/>
  <c r="V99" i="2"/>
  <c r="BF99" i="2"/>
  <c r="CK99" i="2"/>
  <c r="AD74" i="2"/>
  <c r="AZ74" i="2"/>
  <c r="BU74" i="2"/>
  <c r="M98" i="2"/>
  <c r="AI98" i="2"/>
  <c r="BD98" i="2"/>
  <c r="BY98" i="2"/>
  <c r="R91" i="2"/>
  <c r="AM91" i="2"/>
  <c r="BH91" i="2"/>
  <c r="CD91" i="2"/>
  <c r="V94" i="2"/>
  <c r="AQ94" i="2"/>
  <c r="BM94" i="2"/>
  <c r="CH94" i="2"/>
  <c r="Z81" i="2"/>
  <c r="AV81" i="2"/>
  <c r="BQ81" i="2"/>
  <c r="CL81" i="2"/>
  <c r="AE87" i="2"/>
  <c r="AZ87" i="2"/>
  <c r="BU87" i="2"/>
  <c r="CM87" i="2"/>
  <c r="AC89" i="2"/>
  <c r="AU89" i="2"/>
  <c r="BM89" i="2"/>
  <c r="CE89" i="2"/>
  <c r="U95" i="2"/>
  <c r="AK95" i="2"/>
  <c r="BA95" i="2"/>
  <c r="BQ95" i="2"/>
  <c r="CG95" i="2"/>
  <c r="T93" i="2"/>
  <c r="AJ93" i="2"/>
  <c r="AZ93" i="2"/>
  <c r="BP93" i="2"/>
  <c r="CF93" i="2"/>
  <c r="S86" i="2"/>
  <c r="AI86" i="2"/>
  <c r="AY86" i="2"/>
  <c r="BO86" i="2"/>
  <c r="CE86" i="2"/>
  <c r="R97" i="2"/>
  <c r="AH97" i="2"/>
  <c r="AX97" i="2"/>
  <c r="BN97" i="2"/>
  <c r="CD97" i="2"/>
  <c r="Q79" i="2"/>
  <c r="AG79" i="2"/>
  <c r="AW79" i="2"/>
  <c r="BM79" i="2"/>
  <c r="CC79" i="2"/>
  <c r="P80" i="2"/>
  <c r="AF80" i="2"/>
  <c r="AV80" i="2"/>
  <c r="BL80" i="2"/>
  <c r="CB80" i="2"/>
  <c r="O96" i="2"/>
  <c r="AE96" i="2"/>
  <c r="AU96" i="2"/>
  <c r="BK96" i="2"/>
  <c r="CA96" i="2"/>
  <c r="N76" i="2"/>
  <c r="AD76" i="2"/>
  <c r="AT76" i="2"/>
  <c r="BJ76" i="2"/>
  <c r="BZ76" i="2"/>
  <c r="M77" i="2"/>
  <c r="AC77" i="2"/>
  <c r="AS77" i="2"/>
  <c r="BI77" i="2"/>
  <c r="BY77" i="2"/>
  <c r="L84" i="2"/>
  <c r="AB84" i="2"/>
  <c r="AR84" i="2"/>
  <c r="BH84" i="2"/>
  <c r="BU84" i="2"/>
  <c r="CH84" i="2"/>
  <c r="Q75" i="2"/>
  <c r="AQ75" i="2"/>
  <c r="BD75" i="2"/>
  <c r="CB75" i="2"/>
  <c r="T85" i="2"/>
  <c r="AZ85" i="2"/>
  <c r="BV85" i="2"/>
  <c r="Y88" i="2"/>
  <c r="AT88" i="2"/>
  <c r="BZ88" i="2"/>
  <c r="R82" i="2"/>
  <c r="AX82" i="2"/>
  <c r="BT82" i="2"/>
  <c r="W92" i="2"/>
  <c r="AR92" i="2"/>
  <c r="BX92" i="2"/>
  <c r="P83" i="2"/>
  <c r="AV83" i="2"/>
  <c r="BR83" i="2"/>
  <c r="CL88" i="2"/>
  <c r="AO82" i="2"/>
  <c r="CE82" i="2"/>
  <c r="AH92" i="2"/>
  <c r="BY92" i="2"/>
  <c r="AB83" i="2"/>
  <c r="BS83" i="2"/>
  <c r="BF18" i="2"/>
  <c r="BY62" i="2"/>
  <c r="AH47" i="2"/>
  <c r="AW66" i="2"/>
  <c r="BY50" i="2"/>
  <c r="CL65" i="2"/>
  <c r="CD69" i="2"/>
  <c r="AH49" i="2"/>
  <c r="BQ46" i="2"/>
  <c r="BW70" i="2"/>
  <c r="BY78" i="2"/>
  <c r="BR90" i="2"/>
  <c r="BJ99" i="2"/>
  <c r="BY74" i="2"/>
  <c r="BH98" i="2"/>
  <c r="BM91" i="2"/>
  <c r="AV94" i="2"/>
  <c r="AZ81" i="2"/>
  <c r="AI87" i="2"/>
  <c r="AF89" i="2"/>
  <c r="CI89" i="2"/>
  <c r="BT95" i="2"/>
  <c r="AM93" i="2"/>
  <c r="V86" i="2"/>
  <c r="BR86" i="2"/>
  <c r="BQ97" i="2"/>
  <c r="AJ79" i="2"/>
  <c r="S80" i="2"/>
  <c r="BO80" i="2"/>
  <c r="AX96" i="2"/>
  <c r="CD96" i="2"/>
  <c r="CC76" i="2"/>
  <c r="AV77" i="2"/>
  <c r="O84" i="2"/>
  <c r="BK84" i="2"/>
  <c r="AG75" i="2"/>
  <c r="CE75" i="2"/>
  <c r="W85" i="2"/>
  <c r="BX85" i="2"/>
  <c r="AA88" i="2"/>
  <c r="BR88" i="2"/>
  <c r="U82" i="2"/>
  <c r="BL82" i="2"/>
  <c r="CG82" i="2"/>
  <c r="AJ92" i="2"/>
  <c r="CA92" i="2"/>
  <c r="AN83" i="2"/>
  <c r="BJ83" i="2"/>
  <c r="K75" i="2"/>
  <c r="O85" i="2"/>
  <c r="BF85" i="2"/>
  <c r="AO88" i="2"/>
  <c r="M82" i="2"/>
  <c r="BD82" i="2"/>
  <c r="Q92" i="2"/>
  <c r="CC92" i="2"/>
  <c r="BL83" i="2"/>
  <c r="CA38" i="2"/>
  <c r="AG14" i="2"/>
  <c r="BF53" i="2"/>
  <c r="BD65" i="2"/>
  <c r="CG69" i="2"/>
  <c r="CE67" i="2"/>
  <c r="CJ47" i="2"/>
  <c r="CI90" i="2"/>
  <c r="BM74" i="2"/>
  <c r="BQ98" i="2"/>
  <c r="N94" i="2"/>
  <c r="AN81" i="2"/>
  <c r="CF87" i="2"/>
  <c r="BY89" i="2"/>
  <c r="N93" i="2"/>
  <c r="BZ93" i="2"/>
  <c r="L97" i="2"/>
  <c r="BH97" i="2"/>
  <c r="CM79" i="2"/>
  <c r="BV80" i="2"/>
  <c r="BU96" i="2"/>
  <c r="BD76" i="2"/>
  <c r="BS77" i="2"/>
  <c r="BP84" i="2"/>
  <c r="AY75" i="2"/>
  <c r="AA85" i="2"/>
  <c r="BQ85" i="2"/>
  <c r="AP88" i="2"/>
  <c r="Y82" i="2"/>
  <c r="BZ82" i="2"/>
  <c r="AX92" i="2"/>
  <c r="L83" i="2"/>
  <c r="BM83" i="2"/>
  <c r="AO63" i="2"/>
  <c r="CK14" i="2"/>
  <c r="AE56" i="2"/>
  <c r="AU64" i="2"/>
  <c r="CE69" i="2"/>
  <c r="CC67" i="2"/>
  <c r="CE58" i="2"/>
  <c r="O90" i="2"/>
  <c r="AS74" i="2"/>
  <c r="BS98" i="2"/>
  <c r="AK94" i="2"/>
  <c r="AO81" i="2"/>
  <c r="BO87" i="2"/>
  <c r="BZ89" i="2"/>
  <c r="O93" i="2"/>
  <c r="CA93" i="2"/>
  <c r="M97" i="2"/>
  <c r="BY97" i="2"/>
  <c r="BH79" i="2"/>
  <c r="CF17" i="2"/>
  <c r="AK21" i="2"/>
  <c r="CK44" i="2"/>
  <c r="AK13" i="2"/>
  <c r="BY49" i="2"/>
  <c r="CG62" i="2"/>
  <c r="Y31" i="2"/>
  <c r="AO15" i="2"/>
  <c r="BF47" i="2"/>
  <c r="CK58" i="2"/>
  <c r="K52" i="2"/>
  <c r="BE66" i="2"/>
  <c r="BY32" i="2"/>
  <c r="AL57" i="2"/>
  <c r="CD59" i="2"/>
  <c r="AW50" i="2"/>
  <c r="BF37" i="2"/>
  <c r="AT41" i="2"/>
  <c r="T65" i="2"/>
  <c r="AJ68" i="2"/>
  <c r="AH68" i="2"/>
  <c r="BY42" i="2"/>
  <c r="X61" i="2"/>
  <c r="CH69" i="2"/>
  <c r="BX69" i="2"/>
  <c r="AX49" i="2"/>
  <c r="BD55" i="2"/>
  <c r="CI62" i="2"/>
  <c r="CF67" i="2"/>
  <c r="CD67" i="2"/>
  <c r="CG46" i="2"/>
  <c r="BM70" i="2"/>
  <c r="CA70" i="2"/>
  <c r="BS58" i="2"/>
  <c r="AY48" i="2"/>
  <c r="AN78" i="2"/>
  <c r="BX78" i="2"/>
  <c r="AF90" i="2"/>
  <c r="BP90" i="2"/>
  <c r="X99" i="2"/>
  <c r="BI99" i="2"/>
  <c r="L74" i="2"/>
  <c r="AG74" i="2"/>
  <c r="BB74" i="2"/>
  <c r="BX74" i="2"/>
  <c r="P98" i="2"/>
  <c r="AK98" i="2"/>
  <c r="BG98" i="2"/>
  <c r="CB98" i="2"/>
  <c r="T91" i="2"/>
  <c r="AP91" i="2"/>
  <c r="BK91" i="2"/>
  <c r="CF91" i="2"/>
  <c r="Y94" i="2"/>
  <c r="AT94" i="2"/>
  <c r="BO94" i="2"/>
  <c r="CK94" i="2"/>
  <c r="AC81" i="2"/>
  <c r="AX81" i="2"/>
  <c r="BT81" i="2"/>
  <c r="L87" i="2"/>
  <c r="AG87" i="2"/>
  <c r="BC87" i="2"/>
  <c r="BW87" i="2"/>
  <c r="M89" i="2"/>
  <c r="AE89" i="2"/>
  <c r="AW89" i="2"/>
  <c r="BO89" i="2"/>
  <c r="CH89" i="2"/>
  <c r="W95" i="2"/>
  <c r="AM95" i="2"/>
  <c r="BC95" i="2"/>
  <c r="BS95" i="2"/>
  <c r="CI95" i="2"/>
  <c r="V93" i="2"/>
  <c r="AL93" i="2"/>
  <c r="BB93" i="2"/>
  <c r="BR93" i="2"/>
  <c r="CH93" i="2"/>
  <c r="U86" i="2"/>
  <c r="AK86" i="2"/>
  <c r="BA86" i="2"/>
  <c r="BQ86" i="2"/>
  <c r="CG86" i="2"/>
  <c r="T97" i="2"/>
  <c r="AJ97" i="2"/>
  <c r="AZ97" i="2"/>
  <c r="BP97" i="2"/>
  <c r="CF97" i="2"/>
  <c r="S79" i="2"/>
  <c r="AI79" i="2"/>
  <c r="AY79" i="2"/>
  <c r="BO79" i="2"/>
  <c r="CE79" i="2"/>
  <c r="R80" i="2"/>
  <c r="AH80" i="2"/>
  <c r="AX80" i="2"/>
  <c r="BN80" i="2"/>
  <c r="CD80" i="2"/>
  <c r="Q96" i="2"/>
  <c r="AG96" i="2"/>
  <c r="AW96" i="2"/>
  <c r="BM96" i="2"/>
  <c r="CC96" i="2"/>
  <c r="P76" i="2"/>
  <c r="AF76" i="2"/>
  <c r="AV76" i="2"/>
  <c r="BL76" i="2"/>
  <c r="CB76" i="2"/>
  <c r="O77" i="2"/>
  <c r="AE77" i="2"/>
  <c r="AU77" i="2"/>
  <c r="BK77" i="2"/>
  <c r="CA77" i="2"/>
  <c r="N84" i="2"/>
  <c r="AD84" i="2"/>
  <c r="AT84" i="2"/>
  <c r="BJ84" i="2"/>
  <c r="BV84" i="2"/>
  <c r="CI84" i="2"/>
  <c r="S75" i="2"/>
  <c r="AF75" i="2"/>
  <c r="AS75" i="2"/>
  <c r="BE75" i="2"/>
  <c r="BR75" i="2"/>
  <c r="CC75" i="2"/>
  <c r="K85" i="2"/>
  <c r="U85" i="2"/>
  <c r="AF85" i="2"/>
  <c r="AQ85" i="2"/>
  <c r="BA85" i="2"/>
  <c r="BL85" i="2"/>
  <c r="BW85" i="2"/>
  <c r="CG85" i="2"/>
  <c r="O88" i="2"/>
  <c r="Z88" i="2"/>
  <c r="AJ88" i="2"/>
  <c r="AU88" i="2"/>
  <c r="BF88" i="2"/>
  <c r="BP88" i="2"/>
  <c r="CA88" i="2"/>
  <c r="AD82" i="2"/>
  <c r="BJ82" i="2"/>
  <c r="M92" i="2"/>
  <c r="BD92" i="2"/>
  <c r="CJ92" i="2"/>
  <c r="AW83" i="2"/>
  <c r="CC83" i="2"/>
  <c r="CC44" i="2"/>
  <c r="AF43" i="2"/>
  <c r="V58" i="2"/>
  <c r="AA40" i="2"/>
  <c r="AP37" i="2"/>
  <c r="AF68" i="2"/>
  <c r="P61" i="2"/>
  <c r="AV55" i="2"/>
  <c r="BZ67" i="2"/>
  <c r="BK58" i="2"/>
  <c r="AI74" i="2"/>
  <c r="AM98" i="2"/>
  <c r="V91" i="2"/>
  <c r="Z94" i="2"/>
  <c r="CL94" i="2"/>
  <c r="BU81" i="2"/>
  <c r="BX87" i="2"/>
  <c r="AX89" i="2"/>
  <c r="AN95" i="2"/>
  <c r="CJ95" i="2"/>
  <c r="BC93" i="2"/>
  <c r="AL86" i="2"/>
  <c r="CH86" i="2"/>
  <c r="BA97" i="2"/>
  <c r="T79" i="2"/>
  <c r="CF79" i="2"/>
  <c r="AY80" i="2"/>
  <c r="AH96" i="2"/>
  <c r="Q76" i="2"/>
  <c r="BM76" i="2"/>
  <c r="AF77" i="2"/>
  <c r="AE84" i="2"/>
  <c r="BX84" i="2"/>
  <c r="U75" i="2"/>
  <c r="BT75" i="2"/>
  <c r="AH85" i="2"/>
  <c r="BN85" i="2"/>
  <c r="Q88" i="2"/>
  <c r="BG88" i="2"/>
  <c r="CM88" i="2"/>
  <c r="BA82" i="2"/>
  <c r="O92" i="2"/>
  <c r="AU92" i="2"/>
  <c r="BP92" i="2"/>
  <c r="AD83" i="2"/>
  <c r="BT83" i="2"/>
  <c r="X75" i="2"/>
  <c r="CG75" i="2"/>
  <c r="BP85" i="2"/>
  <c r="AD88" i="2"/>
  <c r="CE88" i="2"/>
  <c r="BN82" i="2"/>
  <c r="AM92" i="2"/>
  <c r="K83" i="2"/>
  <c r="BB83" i="2"/>
  <c r="V61" i="2"/>
  <c r="BC46" i="2"/>
  <c r="BK56" i="2"/>
  <c r="AY54" i="2"/>
  <c r="CI69" i="2"/>
  <c r="BB31" i="2"/>
  <c r="CM58" i="2"/>
  <c r="AX90" i="2"/>
  <c r="AR74" i="2"/>
  <c r="AV98" i="2"/>
  <c r="AI94" i="2"/>
  <c r="BI81" i="2"/>
  <c r="BM87" i="2"/>
  <c r="N95" i="2"/>
  <c r="CA95" i="2"/>
  <c r="M86" i="2"/>
  <c r="BY86" i="2"/>
  <c r="BX97" i="2"/>
  <c r="BW79" i="2"/>
  <c r="BF80" i="2"/>
  <c r="CK96" i="2"/>
  <c r="BT76" i="2"/>
  <c r="CI77" i="2"/>
  <c r="BB84" i="2"/>
  <c r="BL75" i="2"/>
  <c r="P85" i="2"/>
  <c r="CB85" i="2"/>
  <c r="AZ88" i="2"/>
  <c r="N82" i="2"/>
  <c r="BO82" i="2"/>
  <c r="AN92" i="2"/>
  <c r="W83" i="2"/>
  <c r="BX83" i="2"/>
  <c r="BS23" i="2"/>
  <c r="AZ46" i="2"/>
  <c r="BR71" i="2"/>
  <c r="AV65" i="2"/>
  <c r="BU69" i="2"/>
  <c r="BG62" i="2"/>
  <c r="BT47" i="2"/>
  <c r="AY90" i="2"/>
  <c r="BO74" i="2"/>
  <c r="AX98" i="2"/>
  <c r="P94" i="2"/>
  <c r="T81" i="2"/>
  <c r="CH87" i="2"/>
  <c r="BG89" i="2"/>
  <c r="CB95" i="2"/>
  <c r="BK93" i="2"/>
  <c r="BZ86" i="2"/>
  <c r="BI97" i="2"/>
  <c r="BX79" i="2"/>
  <c r="BF16" i="2"/>
  <c r="AN33" i="2"/>
  <c r="BG42" i="2"/>
  <c r="BJ13" i="2"/>
  <c r="CK43" i="2"/>
  <c r="BL62" i="2"/>
  <c r="O34" i="2"/>
  <c r="BN15" i="2"/>
  <c r="CK47" i="2"/>
  <c r="R58" i="2"/>
  <c r="S72" i="2"/>
  <c r="M71" i="2"/>
  <c r="CI40" i="2"/>
  <c r="CC53" i="2"/>
  <c r="BQ60" i="2"/>
  <c r="AX63" i="2"/>
  <c r="CK64" i="2"/>
  <c r="V41" i="2"/>
  <c r="AG28" i="2"/>
  <c r="BW68" i="2"/>
  <c r="BM68" i="2"/>
  <c r="BQ42" i="2"/>
  <c r="BH39" i="2"/>
  <c r="AT69" i="2"/>
  <c r="AJ69" i="2"/>
  <c r="BH43" i="2"/>
  <c r="BJ55" i="2"/>
  <c r="O62" i="2"/>
  <c r="AU67" i="2"/>
  <c r="AR67" i="2"/>
  <c r="Q46" i="2"/>
  <c r="Y70" i="2"/>
  <c r="AQ70" i="2"/>
  <c r="BY58" i="2"/>
  <c r="L78" i="2"/>
  <c r="AW78" i="2"/>
  <c r="CG78" i="2"/>
  <c r="AO90" i="2"/>
  <c r="BZ90" i="2"/>
  <c r="AG99" i="2"/>
  <c r="BR99" i="2"/>
  <c r="Q74" i="2"/>
  <c r="AL74" i="2"/>
  <c r="BH74" i="2"/>
  <c r="CC74" i="2"/>
  <c r="U98" i="2"/>
  <c r="AQ98" i="2"/>
  <c r="BL98" i="2"/>
  <c r="CG98" i="2"/>
  <c r="Z91" i="2"/>
  <c r="AU91" i="2"/>
  <c r="BP91" i="2"/>
  <c r="CL91" i="2"/>
  <c r="AD94" i="2"/>
  <c r="AY94" i="2"/>
  <c r="BU94" i="2"/>
  <c r="M81" i="2"/>
  <c r="AH81" i="2"/>
  <c r="BD81" i="2"/>
  <c r="BY81" i="2"/>
  <c r="Q87" i="2"/>
  <c r="AM87" i="2"/>
  <c r="BH87" i="2"/>
  <c r="CB87" i="2"/>
  <c r="Q89" i="2"/>
  <c r="AI89" i="2"/>
  <c r="BB89" i="2"/>
  <c r="BT89" i="2"/>
  <c r="CL89" i="2"/>
  <c r="AA95" i="2"/>
  <c r="AQ95" i="2"/>
  <c r="BG95" i="2"/>
  <c r="BW95" i="2"/>
  <c r="CM95" i="2"/>
  <c r="Z93" i="2"/>
  <c r="AP93" i="2"/>
  <c r="BF93" i="2"/>
  <c r="BV93" i="2"/>
  <c r="CL93" i="2"/>
  <c r="Y86" i="2"/>
  <c r="AO86" i="2"/>
  <c r="BE86" i="2"/>
  <c r="BU86" i="2"/>
  <c r="CK86" i="2"/>
  <c r="X97" i="2"/>
  <c r="AN97" i="2"/>
  <c r="BD97" i="2"/>
  <c r="BT97" i="2"/>
  <c r="CJ97" i="2"/>
  <c r="W79" i="2"/>
  <c r="AM79" i="2"/>
  <c r="BC79" i="2"/>
  <c r="BS79" i="2"/>
  <c r="CI79" i="2"/>
  <c r="V80" i="2"/>
  <c r="AL80" i="2"/>
  <c r="BB80" i="2"/>
  <c r="BR80" i="2"/>
  <c r="CH80" i="2"/>
  <c r="U96" i="2"/>
  <c r="AK96" i="2"/>
  <c r="BA96" i="2"/>
  <c r="BQ96" i="2"/>
  <c r="CG96" i="2"/>
  <c r="T76" i="2"/>
  <c r="AJ76" i="2"/>
  <c r="AZ76" i="2"/>
  <c r="BP76" i="2"/>
  <c r="CF76" i="2"/>
  <c r="S77" i="2"/>
  <c r="AI77" i="2"/>
  <c r="AY77" i="2"/>
  <c r="BO77" i="2"/>
  <c r="CE77" i="2"/>
  <c r="R84" i="2"/>
  <c r="AH84" i="2"/>
  <c r="AX84" i="2"/>
  <c r="BM84" i="2"/>
  <c r="BZ84" i="2"/>
  <c r="CL84" i="2"/>
  <c r="V75" i="2"/>
  <c r="AI75" i="2"/>
  <c r="AV75" i="2"/>
  <c r="BI75" i="2"/>
  <c r="BU75" i="2"/>
  <c r="CF75" i="2"/>
  <c r="M85" i="2"/>
  <c r="X85" i="2"/>
  <c r="AI85" i="2"/>
  <c r="AS85" i="2"/>
  <c r="BD85" i="2"/>
  <c r="BO85" i="2"/>
  <c r="BY85" i="2"/>
  <c r="CJ85" i="2"/>
  <c r="R88" i="2"/>
  <c r="AB88" i="2"/>
  <c r="AM88" i="2"/>
  <c r="AX88" i="2"/>
  <c r="BH88" i="2"/>
  <c r="BS88" i="2"/>
  <c r="CD88" i="2"/>
  <c r="K82" i="2"/>
  <c r="V82" i="2"/>
  <c r="AG82" i="2"/>
  <c r="AQ82" i="2"/>
  <c r="BB82" i="2"/>
  <c r="BM82" i="2"/>
  <c r="BW82" i="2"/>
  <c r="CH82" i="2"/>
  <c r="P92" i="2"/>
  <c r="Z92" i="2"/>
  <c r="AK92" i="2"/>
  <c r="AV92" i="2"/>
  <c r="BF92" i="2"/>
  <c r="BQ92" i="2"/>
  <c r="CB92" i="2"/>
  <c r="CL92" i="2"/>
  <c r="T83" i="2"/>
  <c r="AE83" i="2"/>
  <c r="AO83" i="2"/>
  <c r="AZ83" i="2"/>
  <c r="BK83" i="2"/>
  <c r="BU83" i="2"/>
  <c r="CF83" i="2"/>
  <c r="BS60" i="2"/>
  <c r="CB33" i="2"/>
  <c r="AD61" i="2"/>
  <c r="AI9" i="2"/>
  <c r="CG43" i="2"/>
  <c r="BX27" i="2"/>
  <c r="AD34" i="2"/>
  <c r="BJ15" i="2"/>
  <c r="AO22" i="2"/>
  <c r="BG48" i="2"/>
  <c r="K72" i="2"/>
  <c r="BS71" i="2"/>
  <c r="BG36" i="2"/>
  <c r="N53" i="2"/>
  <c r="CE60" i="2"/>
  <c r="BD63" i="2"/>
  <c r="Q64" i="2"/>
  <c r="CJ65" i="2"/>
  <c r="CE54" i="2"/>
  <c r="AQ68" i="2"/>
  <c r="AO68" i="2"/>
  <c r="AZ61" i="2"/>
  <c r="X39" i="2"/>
  <c r="N69" i="2"/>
  <c r="BM38" i="2"/>
  <c r="AN43" i="2"/>
  <c r="CE62" i="2"/>
  <c r="AX27" i="2"/>
  <c r="CM67" i="2"/>
  <c r="BJ31" i="2"/>
  <c r="BN70" i="2"/>
  <c r="CB70" i="2"/>
  <c r="O70" i="2"/>
  <c r="U58" i="2"/>
  <c r="S78" i="2"/>
  <c r="BD78" i="2"/>
  <c r="K90" i="2"/>
  <c r="AV90" i="2"/>
  <c r="CF90" i="2"/>
  <c r="AN99" i="2"/>
  <c r="BX99" i="2"/>
  <c r="T74" i="2"/>
  <c r="AO74" i="2"/>
  <c r="BJ74" i="2"/>
  <c r="CF74" i="2"/>
  <c r="X98" i="2"/>
  <c r="AS98" i="2"/>
  <c r="BO98" i="2"/>
  <c r="CJ98" i="2"/>
  <c r="AB91" i="2"/>
  <c r="AX91" i="2"/>
  <c r="BS91" i="2"/>
  <c r="K94" i="2"/>
  <c r="AG94" i="2"/>
  <c r="BB94" i="2"/>
  <c r="BW94" i="2"/>
  <c r="P81" i="2"/>
  <c r="AK81" i="2"/>
  <c r="BF81" i="2"/>
  <c r="CB81" i="2"/>
  <c r="T87" i="2"/>
  <c r="AO87" i="2"/>
  <c r="BK87" i="2"/>
  <c r="CD87" i="2"/>
  <c r="S89" i="2"/>
  <c r="AL89" i="2"/>
  <c r="BD89" i="2"/>
  <c r="BV89" i="2"/>
  <c r="L95" i="2"/>
  <c r="AC95" i="2"/>
  <c r="AS95" i="2"/>
  <c r="BI95" i="2"/>
  <c r="BY95" i="2"/>
  <c r="L93" i="2"/>
  <c r="AB93" i="2"/>
  <c r="AR93" i="2"/>
  <c r="BH93" i="2"/>
  <c r="BX93" i="2"/>
  <c r="K86" i="2"/>
  <c r="AA86" i="2"/>
  <c r="AQ86" i="2"/>
  <c r="BG86" i="2"/>
  <c r="BW86" i="2"/>
  <c r="CM86" i="2"/>
  <c r="Z97" i="2"/>
  <c r="AP97" i="2"/>
  <c r="BF97" i="2"/>
  <c r="BV97" i="2"/>
  <c r="CL97" i="2"/>
  <c r="Y79" i="2"/>
  <c r="AO79" i="2"/>
  <c r="BE79" i="2"/>
  <c r="BU79" i="2"/>
  <c r="CK79" i="2"/>
  <c r="X80" i="2"/>
  <c r="AN80" i="2"/>
  <c r="BD80" i="2"/>
  <c r="BT80" i="2"/>
  <c r="CJ80" i="2"/>
  <c r="W96" i="2"/>
  <c r="AM96" i="2"/>
  <c r="BC96" i="2"/>
  <c r="BS96" i="2"/>
  <c r="CI96" i="2"/>
  <c r="V76" i="2"/>
  <c r="AL76" i="2"/>
  <c r="BB76" i="2"/>
  <c r="BR76" i="2"/>
  <c r="CH76" i="2"/>
  <c r="U77" i="2"/>
  <c r="AK77" i="2"/>
  <c r="BA77" i="2"/>
  <c r="BQ77" i="2"/>
  <c r="CG77" i="2"/>
  <c r="T84" i="2"/>
  <c r="AJ84" i="2"/>
  <c r="AZ84" i="2"/>
  <c r="BN84" i="2"/>
  <c r="AK75" i="2"/>
  <c r="AW75" i="2"/>
  <c r="BW75" i="2"/>
  <c r="AJ85" i="2"/>
  <c r="CA85" i="2"/>
  <c r="S88" i="2"/>
  <c r="BJ88" i="2"/>
  <c r="X82" i="2"/>
  <c r="AS82" i="2"/>
  <c r="CJ82" i="2"/>
  <c r="AW92" i="2"/>
  <c r="BS92" i="2"/>
  <c r="AF83" i="2"/>
  <c r="BW83" i="2"/>
  <c r="AQ65" i="2"/>
  <c r="AK55" i="2"/>
  <c r="BE22" i="2"/>
  <c r="AK72" i="2"/>
  <c r="BG60" i="2"/>
  <c r="BK64" i="2"/>
  <c r="Y68" i="2"/>
  <c r="Q38" i="2"/>
  <c r="BO62" i="2"/>
  <c r="BF70" i="2"/>
  <c r="U78" i="2"/>
  <c r="N90" i="2"/>
  <c r="BZ99" i="2"/>
  <c r="CH74" i="2"/>
  <c r="CM98" i="2"/>
  <c r="AZ91" i="2"/>
  <c r="BE94" i="2"/>
  <c r="R81" i="2"/>
  <c r="W87" i="2"/>
  <c r="V89" i="2"/>
  <c r="BF89" i="2"/>
  <c r="AU95" i="2"/>
  <c r="AD93" i="2"/>
  <c r="BJ93" i="2"/>
  <c r="AS86" i="2"/>
  <c r="AB97" i="2"/>
  <c r="K79" i="2"/>
  <c r="AQ79" i="2"/>
  <c r="Z80" i="2"/>
  <c r="CL80" i="2"/>
  <c r="AO96" i="2"/>
  <c r="X76" i="2"/>
  <c r="CJ76" i="2"/>
  <c r="AM77" i="2"/>
  <c r="V84" i="2"/>
  <c r="CC84" i="2"/>
  <c r="Y75" i="2"/>
  <c r="BX75" i="2"/>
  <c r="AK85" i="2"/>
  <c r="BG85" i="2"/>
  <c r="T88" i="2"/>
  <c r="BK88" i="2"/>
  <c r="CF88" i="2"/>
  <c r="AT82" i="2"/>
  <c r="CK82" i="2"/>
  <c r="AC92" i="2"/>
  <c r="BT92" i="2"/>
  <c r="AG83" i="2"/>
  <c r="BC83" i="2"/>
  <c r="K5" i="2"/>
  <c r="BS38" i="2"/>
  <c r="BC27" i="2"/>
  <c r="BZ48" i="2"/>
  <c r="CH59" i="2"/>
  <c r="P63" i="2"/>
  <c r="AA68" i="2"/>
  <c r="AB61" i="2"/>
  <c r="BP43" i="2"/>
  <c r="V31" i="2"/>
  <c r="BL70" i="2"/>
  <c r="BG78" i="2"/>
  <c r="AQ99" i="2"/>
  <c r="X74" i="2"/>
  <c r="AB98" i="2"/>
  <c r="K91" i="2"/>
  <c r="BB91" i="2"/>
  <c r="BF94" i="2"/>
  <c r="BK81" i="2"/>
  <c r="X87" i="2"/>
  <c r="W89" i="2"/>
  <c r="O95" i="2"/>
  <c r="AV95" i="2"/>
  <c r="AE93" i="2"/>
  <c r="N86" i="2"/>
  <c r="AT86" i="2"/>
  <c r="AC97" i="2"/>
  <c r="L79" i="2"/>
  <c r="AR79" i="2"/>
  <c r="AA80" i="2"/>
  <c r="BG80" i="2"/>
  <c r="Y76" i="2"/>
  <c r="BT77" i="2"/>
  <c r="AA75" i="2"/>
  <c r="AM85" i="2"/>
  <c r="AQ88" i="2"/>
  <c r="AV82" i="2"/>
  <c r="AZ92" i="2"/>
  <c r="BD83" i="2"/>
  <c r="BK92" i="2"/>
  <c r="BZ83" i="2"/>
  <c r="AM84" i="2"/>
  <c r="BW88" i="2"/>
  <c r="CB82" i="2"/>
  <c r="BV96" i="2"/>
  <c r="V88" i="2"/>
  <c r="AE92" i="2"/>
  <c r="N75" i="2"/>
  <c r="AO92" i="2"/>
  <c r="BW80" i="2"/>
  <c r="AO76" i="2"/>
  <c r="CJ77" i="2"/>
  <c r="AN75" i="2"/>
  <c r="AX85" i="2"/>
  <c r="BB88" i="2"/>
  <c r="BF82" i="2"/>
  <c r="BO83" i="2"/>
  <c r="Z96" i="2"/>
  <c r="BM75" i="2"/>
  <c r="CJ83" i="2"/>
  <c r="CD84" i="2"/>
  <c r="AI83" i="2"/>
  <c r="AK82" i="2"/>
  <c r="CM80" i="2"/>
  <c r="BE76" i="2"/>
  <c r="W84" i="2"/>
  <c r="BA75" i="2"/>
  <c r="BH85" i="2"/>
  <c r="BM88" i="2"/>
  <c r="BQ82" i="2"/>
  <c r="BU92" i="2"/>
  <c r="BU76" i="2"/>
  <c r="BS85" i="2"/>
  <c r="CF92" i="2"/>
  <c r="R85" i="2"/>
  <c r="CL96" i="2"/>
  <c r="AG88" i="2"/>
  <c r="AP96" i="2"/>
  <c r="CK76" i="2"/>
  <c r="BC84" i="2"/>
  <c r="BY75" i="2"/>
  <c r="CD85" i="2"/>
  <c r="CH88" i="2"/>
  <c r="CL82" i="2"/>
  <c r="N83" i="2"/>
  <c r="BF96" i="2"/>
  <c r="X77" i="2"/>
  <c r="BR84" i="2"/>
  <c r="CJ75" i="2"/>
  <c r="K88" i="2"/>
  <c r="P82" i="2"/>
  <c r="T92" i="2"/>
  <c r="X83" i="2"/>
  <c r="AN77" i="2"/>
  <c r="Z82" i="2"/>
  <c r="BD77" i="2"/>
  <c r="AB85" i="2"/>
  <c r="AT83" i="2"/>
  <c r="AJ52" i="2"/>
  <c r="BP52" i="2"/>
  <c r="V52" i="2"/>
  <c r="BB52" i="2"/>
  <c r="CH52" i="2"/>
  <c r="BI52" i="2"/>
  <c r="AW52" i="2"/>
  <c r="BC52" i="2"/>
  <c r="I81" i="1"/>
  <c r="AN52" i="2"/>
  <c r="BT52" i="2"/>
  <c r="Z52" i="2"/>
  <c r="BF52" i="2"/>
  <c r="CL52" i="2"/>
  <c r="BQ52" i="2"/>
  <c r="BE52" i="2"/>
  <c r="BS52" i="2"/>
  <c r="AO51" i="2"/>
  <c r="BU51" i="2"/>
  <c r="W51" i="2"/>
  <c r="BC51" i="2"/>
  <c r="CI51" i="2"/>
  <c r="BJ51" i="2"/>
  <c r="AX51" i="2"/>
  <c r="BD51" i="2"/>
  <c r="I80" i="1"/>
  <c r="M51" i="2"/>
  <c r="AS51" i="2"/>
  <c r="BY51" i="2"/>
  <c r="AA51" i="2"/>
  <c r="BG51" i="2"/>
  <c r="CM51" i="2"/>
  <c r="BR51" i="2"/>
  <c r="BF51" i="2"/>
  <c r="BT51" i="2"/>
  <c r="BV51" i="2"/>
  <c r="AL32" i="2"/>
  <c r="BR32" i="2"/>
  <c r="T32" i="2"/>
  <c r="AZ32" i="2"/>
  <c r="CF32" i="2"/>
  <c r="BK32" i="2"/>
  <c r="AQ32" i="2"/>
  <c r="AG32" i="2"/>
  <c r="CK32" i="2"/>
  <c r="I61" i="1"/>
  <c r="I45" i="1"/>
  <c r="BA29" i="2"/>
  <c r="AI29" i="2"/>
  <c r="Z29" i="2"/>
  <c r="BR29" i="2"/>
  <c r="BE29" i="2"/>
  <c r="AM29" i="2"/>
  <c r="AH29" i="2"/>
  <c r="BZ29" i="2"/>
  <c r="AG29" i="2"/>
  <c r="BM29" i="2"/>
  <c r="O29" i="2"/>
  <c r="AU29" i="2"/>
  <c r="CA29" i="2"/>
  <c r="AX29" i="2"/>
  <c r="AD29" i="2"/>
  <c r="T29" i="2"/>
  <c r="BH29" i="2"/>
  <c r="AK29" i="2"/>
  <c r="BQ29" i="2"/>
  <c r="S29" i="2"/>
  <c r="AY29" i="2"/>
  <c r="CE29" i="2"/>
  <c r="BF29" i="2"/>
  <c r="AL29" i="2"/>
  <c r="AJ29" i="2"/>
  <c r="BX29" i="2"/>
  <c r="I58" i="1"/>
  <c r="M29" i="2"/>
  <c r="AS29" i="2"/>
  <c r="BY29" i="2"/>
  <c r="AA29" i="2"/>
  <c r="BG29" i="2"/>
  <c r="CM29" i="2"/>
  <c r="BV29" i="2"/>
  <c r="BB29" i="2"/>
  <c r="BP29" i="2"/>
  <c r="BT29" i="2"/>
  <c r="Q29" i="2"/>
  <c r="AW29" i="2"/>
  <c r="CC29" i="2"/>
  <c r="AE29" i="2"/>
  <c r="BK29" i="2"/>
  <c r="R29" i="2"/>
  <c r="CD29" i="2"/>
  <c r="BJ29" i="2"/>
  <c r="CF29" i="2"/>
  <c r="AF20" i="2"/>
  <c r="BL20" i="2"/>
  <c r="Q20" i="2"/>
  <c r="AW20" i="2"/>
  <c r="CC20" i="2"/>
  <c r="BB20" i="2"/>
  <c r="AP20" i="2"/>
  <c r="AM20" i="2"/>
  <c r="CA20" i="2"/>
  <c r="AI20" i="2"/>
  <c r="AJ20" i="2"/>
  <c r="BP20" i="2"/>
  <c r="U20" i="2"/>
  <c r="BA20" i="2"/>
  <c r="CG20" i="2"/>
  <c r="BJ20" i="2"/>
  <c r="AX20" i="2"/>
  <c r="BC20" i="2"/>
  <c r="AA20" i="2"/>
  <c r="CE20" i="2"/>
  <c r="I49" i="1"/>
  <c r="AC19" i="2"/>
  <c r="BI19" i="2"/>
  <c r="N19" i="2"/>
  <c r="AT19" i="2"/>
  <c r="BZ19" i="2"/>
  <c r="AU19" i="2"/>
  <c r="AA19" i="2"/>
  <c r="CM19" i="2"/>
  <c r="AV19" i="2"/>
  <c r="T19" i="2"/>
  <c r="N26" i="2"/>
  <c r="AT26" i="2"/>
  <c r="O26" i="2"/>
  <c r="AU26" i="2"/>
  <c r="AF26" i="2"/>
  <c r="CE26" i="2"/>
  <c r="AZ26" i="2"/>
  <c r="CB26" i="2"/>
  <c r="CD26" i="2"/>
  <c r="CC26" i="2"/>
  <c r="R26" i="2"/>
  <c r="AX26" i="2"/>
  <c r="S26" i="2"/>
  <c r="AY26" i="2"/>
  <c r="AN26" i="2"/>
  <c r="CI26" i="2"/>
  <c r="BH26" i="2"/>
  <c r="CG26" i="2"/>
  <c r="CJ26" i="2"/>
  <c r="AC26" i="2"/>
  <c r="Z26" i="2"/>
  <c r="BF26" i="2"/>
  <c r="AA26" i="2"/>
  <c r="BG26" i="2"/>
  <c r="BD26" i="2"/>
  <c r="L26" i="2"/>
  <c r="Q26" i="2"/>
  <c r="Y26" i="2"/>
  <c r="BA26" i="2"/>
  <c r="BI26" i="2"/>
  <c r="AD26" i="2"/>
  <c r="BJ26" i="2"/>
  <c r="AE26" i="2"/>
  <c r="BK26" i="2"/>
  <c r="BL26" i="2"/>
  <c r="T26" i="2"/>
  <c r="AG26" i="2"/>
  <c r="AO26" i="2"/>
  <c r="BX26" i="2"/>
  <c r="CK26" i="2"/>
  <c r="BU53" i="2"/>
  <c r="BH53" i="2"/>
  <c r="AN53" i="2"/>
  <c r="V53" i="2"/>
  <c r="BY53" i="2"/>
  <c r="BP53" i="2"/>
  <c r="AV53" i="2"/>
  <c r="AL53" i="2"/>
  <c r="AM25" i="2"/>
  <c r="BS25" i="2"/>
  <c r="T25" i="2"/>
  <c r="AZ25" i="2"/>
  <c r="CF25" i="2"/>
  <c r="BM25" i="2"/>
  <c r="AS25" i="2"/>
  <c r="AX25" i="2"/>
  <c r="AL25" i="2"/>
  <c r="BJ25" i="2"/>
  <c r="S25" i="2"/>
  <c r="AY25" i="2"/>
  <c r="CE25" i="2"/>
  <c r="AF25" i="2"/>
  <c r="BL25" i="2"/>
  <c r="Y25" i="2"/>
  <c r="CK25" i="2"/>
  <c r="BQ25" i="2"/>
  <c r="Z25" i="2"/>
  <c r="BB25" i="2"/>
  <c r="W25" i="2"/>
  <c r="BC25" i="2"/>
  <c r="CI25" i="2"/>
  <c r="AJ25" i="2"/>
  <c r="BP25" i="2"/>
  <c r="AG25" i="2"/>
  <c r="M25" i="2"/>
  <c r="BY25" i="2"/>
  <c r="AP25" i="2"/>
  <c r="CH25" i="2"/>
  <c r="AE25" i="2"/>
  <c r="BK25" i="2"/>
  <c r="L25" i="2"/>
  <c r="AR25" i="2"/>
  <c r="BX25" i="2"/>
  <c r="AW25" i="2"/>
  <c r="AC25" i="2"/>
  <c r="R25" i="2"/>
  <c r="BV25" i="2"/>
  <c r="N25" i="2"/>
  <c r="AI25" i="2"/>
  <c r="BO25" i="2"/>
  <c r="P25" i="2"/>
  <c r="AV25" i="2"/>
  <c r="CB25" i="2"/>
  <c r="BE25" i="2"/>
  <c r="AK25" i="2"/>
  <c r="AH25" i="2"/>
  <c r="CL25" i="2"/>
  <c r="BZ25" i="2"/>
  <c r="I54" i="1"/>
  <c r="V66" i="2"/>
  <c r="AX66" i="2"/>
  <c r="P66" i="2"/>
  <c r="BJ66" i="2"/>
  <c r="L66" i="2"/>
  <c r="AZ66" i="2"/>
  <c r="AP66" i="2"/>
  <c r="CD66" i="2"/>
  <c r="X66" i="2"/>
  <c r="N66" i="2"/>
  <c r="BB66" i="2"/>
  <c r="AJ66" i="2"/>
  <c r="R66" i="2"/>
  <c r="BF66" i="2"/>
  <c r="AR66" i="2"/>
  <c r="Z66" i="2"/>
  <c r="BV66" i="2"/>
  <c r="AV66" i="2"/>
  <c r="AD66" i="2"/>
  <c r="BZ66" i="2"/>
  <c r="I95" i="1"/>
  <c r="AB66" i="2"/>
  <c r="BH66" i="2"/>
  <c r="AH66" i="2"/>
  <c r="BN66" i="2"/>
  <c r="AF66" i="2"/>
  <c r="BL66" i="2"/>
  <c r="AL66" i="2"/>
  <c r="BR66" i="2"/>
  <c r="AP56" i="2"/>
  <c r="CD56" i="2"/>
  <c r="AV56" i="2"/>
  <c r="CJ56" i="2"/>
  <c r="CE56" i="2"/>
  <c r="AX56" i="2"/>
  <c r="P56" i="2"/>
  <c r="BD56" i="2"/>
  <c r="S56" i="2"/>
  <c r="N56" i="2"/>
  <c r="BB56" i="2"/>
  <c r="T56" i="2"/>
  <c r="BH56" i="2"/>
  <c r="AA56" i="2"/>
  <c r="Z56" i="2"/>
  <c r="BF56" i="2"/>
  <c r="CL56" i="2"/>
  <c r="AN56" i="2"/>
  <c r="BT56" i="2"/>
  <c r="AI56" i="2"/>
  <c r="AD56" i="2"/>
  <c r="BJ56" i="2"/>
  <c r="L56" i="2"/>
  <c r="AR56" i="2"/>
  <c r="BX56" i="2"/>
  <c r="AQ56" i="2"/>
  <c r="K100" i="2"/>
  <c r="D5" i="1"/>
  <c r="BQ100" i="2"/>
  <c r="J9" i="1"/>
  <c r="U100" i="2"/>
  <c r="E6" i="1"/>
  <c r="Y100" i="2"/>
  <c r="E10" i="1"/>
  <c r="AU100" i="2"/>
  <c r="H5" i="1"/>
  <c r="M100" i="2"/>
  <c r="D7" i="1"/>
  <c r="BC100" i="2"/>
  <c r="H13" i="1"/>
  <c r="AV100" i="2"/>
  <c r="H6" i="1"/>
  <c r="BZ100" i="2"/>
  <c r="K9" i="1"/>
  <c r="CH100" i="2"/>
  <c r="L8" i="1"/>
  <c r="AE100" i="2"/>
  <c r="F7" i="1"/>
  <c r="AN100" i="2"/>
  <c r="G7" i="1"/>
  <c r="AK100" i="2"/>
  <c r="F13" i="1"/>
  <c r="R100" i="2"/>
  <c r="D12" i="1"/>
  <c r="AA100" i="2"/>
  <c r="E12" i="1"/>
  <c r="AS100" i="2"/>
  <c r="G12" i="1"/>
  <c r="Q100" i="2"/>
  <c r="D11" i="1"/>
  <c r="AQ100" i="2"/>
  <c r="G10" i="1"/>
  <c r="CE100" i="2"/>
  <c r="L5" i="1"/>
  <c r="CL100" i="2"/>
  <c r="L12" i="1"/>
  <c r="J129" i="1"/>
  <c r="A15" i="1"/>
  <c r="AI100" i="2"/>
  <c r="F11" i="1"/>
  <c r="BE100" i="2"/>
  <c r="I6" i="1"/>
  <c r="BT100" i="2"/>
  <c r="J12" i="1"/>
  <c r="AG100" i="2"/>
  <c r="F9" i="1"/>
  <c r="AR100" i="2"/>
  <c r="G11" i="1"/>
  <c r="BB100" i="2"/>
  <c r="H12" i="1"/>
  <c r="K129" i="1"/>
  <c r="A18" i="1"/>
  <c r="CJ100" i="2"/>
  <c r="L10" i="1"/>
  <c r="I129" i="1"/>
  <c r="O100" i="2"/>
  <c r="D9" i="1"/>
  <c r="CB100" i="2"/>
  <c r="K11" i="1"/>
  <c r="AX100" i="2"/>
  <c r="H8" i="1"/>
  <c r="A24" i="1"/>
  <c r="M129" i="1"/>
  <c r="AF100" i="2"/>
  <c r="F8" i="1"/>
  <c r="P100" i="2"/>
  <c r="D10" i="1"/>
  <c r="BY100" i="2"/>
  <c r="K8" i="1"/>
  <c r="X100" i="2"/>
  <c r="E9" i="1"/>
  <c r="BF100" i="2"/>
  <c r="I7" i="1"/>
  <c r="BH100" i="2"/>
  <c r="I9" i="1"/>
  <c r="AT100" i="2"/>
  <c r="G13" i="1"/>
  <c r="BJ100" i="2"/>
  <c r="I11" i="1"/>
  <c r="AP100" i="2"/>
  <c r="G9" i="1"/>
  <c r="AL100" i="2"/>
  <c r="G5" i="1"/>
  <c r="AM100" i="2"/>
  <c r="G6" i="1"/>
  <c r="BV100" i="2"/>
  <c r="K5" i="1"/>
  <c r="BG100" i="2"/>
  <c r="I8" i="1"/>
  <c r="AC100" i="2"/>
  <c r="F5" i="1"/>
  <c r="CG100" i="2"/>
  <c r="L7" i="1"/>
  <c r="BS100" i="2"/>
  <c r="J11" i="1"/>
  <c r="N100" i="2"/>
  <c r="D8" i="1"/>
  <c r="AB100" i="2"/>
  <c r="E13" i="1"/>
  <c r="AW100" i="2"/>
  <c r="H7" i="1"/>
  <c r="S100" i="2"/>
  <c r="D13" i="1"/>
  <c r="CM100" i="2"/>
  <c r="L13" i="1"/>
  <c r="BD100" i="2"/>
  <c r="I5" i="1"/>
  <c r="AY100" i="2"/>
  <c r="H9" i="1"/>
  <c r="BK100" i="2"/>
  <c r="I12" i="1"/>
  <c r="AO100" i="2"/>
  <c r="G8" i="1"/>
  <c r="T100" i="2"/>
  <c r="E5" i="1"/>
  <c r="CI100" i="2"/>
  <c r="L9" i="1"/>
  <c r="BO100" i="2"/>
  <c r="J7" i="1"/>
  <c r="V100" i="2"/>
  <c r="E7" i="1"/>
  <c r="AZ100" i="2"/>
  <c r="H10" i="1"/>
  <c r="CF100" i="2"/>
  <c r="L6" i="1"/>
  <c r="BU100" i="2"/>
  <c r="J13" i="1"/>
  <c r="BW100" i="2"/>
  <c r="K6" i="1"/>
  <c r="CK100" i="2"/>
  <c r="L11" i="1"/>
  <c r="BI100" i="2"/>
  <c r="I10" i="1"/>
  <c r="BX100" i="2"/>
  <c r="K7" i="1"/>
  <c r="CA100" i="2"/>
  <c r="K10" i="1"/>
  <c r="BM100" i="2"/>
  <c r="J5" i="1"/>
  <c r="BN100" i="2"/>
  <c r="J6" i="1"/>
  <c r="Z100" i="2"/>
  <c r="E11" i="1"/>
  <c r="BA100" i="2"/>
  <c r="H11" i="1"/>
  <c r="L100" i="2"/>
  <c r="D6" i="1"/>
  <c r="CD100" i="2"/>
  <c r="K13" i="1"/>
  <c r="BL16" i="2"/>
  <c r="W11" i="2"/>
  <c r="AD25" i="2"/>
  <c r="AH14" i="2"/>
  <c r="AJ17" i="2"/>
  <c r="BR12" i="2"/>
  <c r="BP19" i="2"/>
  <c r="CC15" i="2"/>
  <c r="CC100" i="2"/>
  <c r="K12" i="1"/>
  <c r="BP100" i="2"/>
  <c r="J8" i="1"/>
  <c r="BR100" i="2"/>
  <c r="J10" i="1"/>
  <c r="AJ100" i="2"/>
  <c r="F12" i="1"/>
  <c r="AH100" i="2"/>
  <c r="F10" i="1"/>
  <c r="AD100" i="2"/>
  <c r="F6" i="1"/>
  <c r="W100" i="2"/>
  <c r="E8" i="1"/>
  <c r="BL100" i="2"/>
  <c r="I13" i="1"/>
</calcChain>
</file>

<file path=xl/sharedStrings.xml><?xml version="1.0" encoding="utf-8"?>
<sst xmlns="http://schemas.openxmlformats.org/spreadsheetml/2006/main" count="228" uniqueCount="124">
  <si>
    <t>ESH14</t>
  </si>
  <si>
    <t>ESZ13</t>
  </si>
  <si>
    <t>ESOZ13_1555P</t>
  </si>
  <si>
    <t>ESOZ13_1580P</t>
  </si>
  <si>
    <t>ESOZ13_1590P</t>
  </si>
  <si>
    <t>ESOZ13_1600P</t>
  </si>
  <si>
    <t>ESOZ13_1620P</t>
  </si>
  <si>
    <t>ESOZ13_1630P</t>
  </si>
  <si>
    <t>ESOZ13_1640P</t>
  </si>
  <si>
    <t>ESOZ13_1645P</t>
  </si>
  <si>
    <t>ESOZ13_1650C</t>
  </si>
  <si>
    <t>ESOZ13_1650P</t>
  </si>
  <si>
    <t>ESOZ13_1655P</t>
  </si>
  <si>
    <t>ESOZ13_1660P</t>
  </si>
  <si>
    <t>ESOZ13_1665P</t>
  </si>
  <si>
    <t>ESOZ13_1670P</t>
  </si>
  <si>
    <t>ESOZ13_1680P</t>
  </si>
  <si>
    <t>ESOZ13_1685P</t>
  </si>
  <si>
    <t>ESOZ13_1690P</t>
  </si>
  <si>
    <t>ESOZ13_1695P</t>
  </si>
  <si>
    <t>ESOZ13_1700P</t>
  </si>
  <si>
    <t>ESOZ13_1705P</t>
  </si>
  <si>
    <t>ESOZ13_1710P</t>
  </si>
  <si>
    <t>ESOZ13_1720P</t>
  </si>
  <si>
    <t>ESOZ13_1725C</t>
  </si>
  <si>
    <t>ESOZ13_1725P</t>
  </si>
  <si>
    <t>ESOZ13_1730C</t>
  </si>
  <si>
    <t>ESOZ13_1730P</t>
  </si>
  <si>
    <t>ESOZ13_1735P</t>
  </si>
  <si>
    <t>ESOZ13_1740P</t>
  </si>
  <si>
    <t>ESOZ13_1745P</t>
  </si>
  <si>
    <t>ESOZ13_1750C</t>
  </si>
  <si>
    <t>ESOZ13_1750P</t>
  </si>
  <si>
    <t>ESOZ13_1755P</t>
  </si>
  <si>
    <t>ESOZ13_1760C</t>
  </si>
  <si>
    <t>ESOZ13_1760P</t>
  </si>
  <si>
    <t>ESOZ13_1765P</t>
  </si>
  <si>
    <t>ESOZ13_1770C</t>
  </si>
  <si>
    <t>ESOZ13_1770P</t>
  </si>
  <si>
    <t>ESOZ13_1775C</t>
  </si>
  <si>
    <t>ESOZ13_1775P</t>
  </si>
  <si>
    <t>ESOZ13_1780C</t>
  </si>
  <si>
    <t>ESOZ13_1780P</t>
  </si>
  <si>
    <t>ESOZ13_1785C</t>
  </si>
  <si>
    <t>ESOZ13_1785P</t>
  </si>
  <si>
    <t>ESOZ13_1790C</t>
  </si>
  <si>
    <t>ESOZ13_1790P</t>
  </si>
  <si>
    <t>ESOZ13_1795C</t>
  </si>
  <si>
    <t>ESOZ13_1795P</t>
  </si>
  <si>
    <t>ESOZ13_1800C</t>
  </si>
  <si>
    <t>ESOZ13_1800P</t>
  </si>
  <si>
    <t>ESOZ13_1805C</t>
  </si>
  <si>
    <t>ESOZ13_1805P</t>
  </si>
  <si>
    <t>ESOZ13_1810C</t>
  </si>
  <si>
    <t>ESOZ13_1810P</t>
  </si>
  <si>
    <t>ESOZ13_1815C</t>
  </si>
  <si>
    <t>ESOZ13_1815P</t>
  </si>
  <si>
    <t>ESOZ13_1820C</t>
  </si>
  <si>
    <t>ESOZ13_1820P</t>
  </si>
  <si>
    <t>ESOZ13_1825C</t>
  </si>
  <si>
    <t>ESOZ13_1830C</t>
  </si>
  <si>
    <t>ESOZ13_1835C</t>
  </si>
  <si>
    <t>ESOZ13_1840C</t>
  </si>
  <si>
    <t>ESOZ13_1845C</t>
  </si>
  <si>
    <t>ESOZ13_1850C</t>
  </si>
  <si>
    <t>ESOZ13_1860C</t>
  </si>
  <si>
    <t>ESOZ13_1865C</t>
  </si>
  <si>
    <t>ESOZ13_1870C</t>
  </si>
  <si>
    <t>ESOF14_1710P</t>
  </si>
  <si>
    <t>ESOF14_1720P</t>
  </si>
  <si>
    <t>ESOF14_1725P</t>
  </si>
  <si>
    <t>ESOF14_1730P</t>
  </si>
  <si>
    <t>ESOF14_1740P</t>
  </si>
  <si>
    <t>ESOF14_1745P</t>
  </si>
  <si>
    <t>ESOF14_1750P</t>
  </si>
  <si>
    <t>ESOF14_1760P</t>
  </si>
  <si>
    <t>ESOF14_1765P</t>
  </si>
  <si>
    <t>ESOF14_1770P</t>
  </si>
  <si>
    <t>ESOF14_1775C</t>
  </si>
  <si>
    <t>ESOF14_1780C</t>
  </si>
  <si>
    <t>ESOF14_1780P</t>
  </si>
  <si>
    <t>ESOF14_1785C</t>
  </si>
  <si>
    <t>ESOF14_1790C</t>
  </si>
  <si>
    <t>ESOF14_1790P</t>
  </si>
  <si>
    <t>ESOF14_1795C</t>
  </si>
  <si>
    <t>ESOF14_1795P</t>
  </si>
  <si>
    <t>ESOF14_1800C</t>
  </si>
  <si>
    <t>ESOF14_1810C</t>
  </si>
  <si>
    <t>ESOF14_1815C</t>
  </si>
  <si>
    <t>ESOF14_1820C</t>
  </si>
  <si>
    <t>ESOF14_1830C</t>
  </si>
  <si>
    <t>ESOF14_1835C</t>
  </si>
  <si>
    <t>ESOF14_1850C</t>
  </si>
  <si>
    <t>ESOF14_1855C</t>
  </si>
  <si>
    <t>ESOF14_1860C</t>
  </si>
  <si>
    <t>Option Type</t>
  </si>
  <si>
    <t>Position</t>
  </si>
  <si>
    <t>Call (1), Put (0)</t>
  </si>
  <si>
    <t>Price of Underlying</t>
  </si>
  <si>
    <t xml:space="preserve">Strike Price </t>
  </si>
  <si>
    <t>Interest Rate</t>
  </si>
  <si>
    <t>Volatility</t>
  </si>
  <si>
    <t>BSTV</t>
  </si>
  <si>
    <t>PnL</t>
  </si>
  <si>
    <t>Risk Slide (PnL)</t>
  </si>
  <si>
    <t>Underlying:</t>
  </si>
  <si>
    <t>Change of Underlying</t>
  </si>
  <si>
    <t>Change of Volatility</t>
  </si>
  <si>
    <t>Days Til Expo(DEC):</t>
  </si>
  <si>
    <t>Days Til Expo(JAN):</t>
  </si>
  <si>
    <t>Delta:</t>
  </si>
  <si>
    <t>Gamma:</t>
  </si>
  <si>
    <t>Vega:</t>
  </si>
  <si>
    <t>Theta:</t>
  </si>
  <si>
    <t>Black-Scholes Model Output</t>
  </si>
  <si>
    <t>PNL</t>
  </si>
  <si>
    <t>Delta</t>
  </si>
  <si>
    <t>Gamma</t>
  </si>
  <si>
    <t>Vega</t>
  </si>
  <si>
    <t>Theta</t>
  </si>
  <si>
    <t>Volatility:</t>
  </si>
  <si>
    <t>Total PnL</t>
  </si>
  <si>
    <t>ForexB</t>
  </si>
  <si>
    <t>ForexA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</si>
</sst>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3" applyNumberFormat="1" applyFont="1" applyAlignment="1">
      <alignment horizontal="center" vertical="center"/>
    </xf>
    <xf numFmtId="164" fontId="0" fillId="0" borderId="0" xfId="3" applyNumberFormat="1" applyFont="1" applyFill="1" applyAlignment="1">
      <alignment horizontal="center" vertical="center"/>
    </xf>
    <xf numFmtId="44" fontId="0" fillId="2" borderId="0" xfId="2" applyFont="1" applyFill="1" applyAlignment="1">
      <alignment horizontal="center" vertical="center"/>
    </xf>
    <xf numFmtId="44" fontId="0" fillId="0" borderId="0" xfId="2" applyFont="1" applyAlignment="1">
      <alignment horizontal="center" vertical="center"/>
    </xf>
    <xf numFmtId="0" fontId="0" fillId="0" borderId="0" xfId="0" applyFont="1"/>
    <xf numFmtId="44" fontId="0" fillId="0" borderId="0" xfId="2" applyFont="1"/>
    <xf numFmtId="164" fontId="1" fillId="0" borderId="0" xfId="3" applyNumberFormat="1" applyFont="1" applyFill="1" applyAlignment="1">
      <alignment horizontal="center" vertical="center"/>
    </xf>
    <xf numFmtId="1" fontId="0" fillId="0" borderId="0" xfId="0" applyNumberFormat="1" applyFont="1"/>
    <xf numFmtId="1" fontId="0" fillId="0" borderId="0" xfId="0" applyNumberFormat="1"/>
    <xf numFmtId="43" fontId="0" fillId="0" borderId="0" xfId="1" applyFont="1"/>
    <xf numFmtId="44" fontId="0" fillId="0" borderId="0" xfId="2" applyFont="1" applyFill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29"/>
  <sheetViews>
    <sheetView tabSelected="1" zoomScale="75" zoomScaleNormal="75" workbookViewId="0">
      <selection activeCell="H4" sqref="H4:H8"/>
    </sheetView>
  </sheetViews>
  <sheetFormatPr defaultRowHeight="15" x14ac:dyDescent="0.25"/>
  <cols>
    <col min="1" max="1" width="24.5703125" customWidth="1"/>
    <col min="2" max="2" width="25.28515625" customWidth="1"/>
    <col min="3" max="3" width="21.42578125" customWidth="1"/>
    <col min="4" max="4" width="20.85546875" customWidth="1"/>
    <col min="5" max="5" width="22.85546875" customWidth="1"/>
    <col min="6" max="6" width="16.140625" customWidth="1"/>
    <col min="7" max="7" width="19.28515625" customWidth="1"/>
    <col min="8" max="8" width="18.140625" customWidth="1"/>
    <col min="9" max="9" width="15.5703125" customWidth="1"/>
    <col min="10" max="10" width="16" customWidth="1"/>
    <col min="11" max="11" width="16.85546875" customWidth="1"/>
    <col min="12" max="12" width="14.85546875" customWidth="1"/>
    <col min="13" max="13" width="14.140625" customWidth="1"/>
    <col min="14" max="14" width="12.28515625" customWidth="1"/>
    <col min="19" max="19" width="17" customWidth="1"/>
    <col min="20" max="20" width="11.85546875" customWidth="1"/>
    <col min="21" max="21" width="15.140625" customWidth="1"/>
    <col min="22" max="22" width="19.7109375" customWidth="1"/>
    <col min="23" max="23" width="12" customWidth="1"/>
    <col min="24" max="24" width="13.42578125" customWidth="1"/>
    <col min="25" max="25" width="12.5703125" customWidth="1"/>
    <col min="26" max="27" width="12.140625" customWidth="1"/>
    <col min="28" max="28" width="12.7109375" customWidth="1"/>
  </cols>
  <sheetData>
    <row r="1" spans="1:27" x14ac:dyDescent="0.25">
      <c r="A1" s="18" t="s">
        <v>104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</row>
    <row r="2" spans="1:27" x14ac:dyDescent="0.25">
      <c r="Q2" s="3"/>
    </row>
    <row r="3" spans="1:27" x14ac:dyDescent="0.25">
      <c r="A3" t="s">
        <v>105</v>
      </c>
      <c r="D3" s="16" t="s">
        <v>106</v>
      </c>
      <c r="E3" s="16"/>
      <c r="F3" s="16"/>
      <c r="G3" s="16"/>
      <c r="H3" s="16"/>
      <c r="I3" s="16"/>
      <c r="J3" s="16"/>
      <c r="K3" s="16"/>
      <c r="L3" s="16"/>
    </row>
    <row r="4" spans="1:27" x14ac:dyDescent="0.25">
      <c r="A4">
        <v>1781.86</v>
      </c>
      <c r="C4" s="4"/>
      <c r="D4" s="4">
        <v>-0.1</v>
      </c>
      <c r="E4" s="4">
        <v>-0.05</v>
      </c>
      <c r="F4" s="4">
        <v>-0.01</v>
      </c>
      <c r="G4" s="4">
        <v>-5.0000000000000001E-3</v>
      </c>
      <c r="H4" s="5">
        <v>0</v>
      </c>
      <c r="I4" s="4">
        <v>5.0000000000000001E-3</v>
      </c>
      <c r="J4" s="4">
        <v>0.01</v>
      </c>
      <c r="K4" s="5">
        <v>0.05</v>
      </c>
      <c r="L4" s="4">
        <v>0.1</v>
      </c>
    </row>
    <row r="5" spans="1:27" x14ac:dyDescent="0.25">
      <c r="B5" s="16" t="s">
        <v>107</v>
      </c>
      <c r="C5" s="4">
        <v>0.1</v>
      </c>
      <c r="D5" s="6">
        <f>CalculationSheet!$K$100</f>
        <v>-38249.820728733372</v>
      </c>
      <c r="E5" s="7">
        <f>CalculationSheet!$T$100</f>
        <v>-11186.505649835082</v>
      </c>
      <c r="F5" s="7">
        <f>CalculationSheet!$AC$100</f>
        <v>-4774.7342797195697</v>
      </c>
      <c r="G5" s="7">
        <f>CalculationSheet!$AL$100</f>
        <v>-5185.6629703496637</v>
      </c>
      <c r="H5" s="7">
        <f>CalculationSheet!$AU$100</f>
        <v>-6144.6252631800853</v>
      </c>
      <c r="I5" s="7">
        <f>CalculationSheet!$BD$100</f>
        <v>-7803.0053022355223</v>
      </c>
      <c r="J5" s="7">
        <f>CalculationSheet!$BM$100</f>
        <v>-10327.686254359709</v>
      </c>
      <c r="K5" s="7">
        <f>CalculationSheet!$BV$100</f>
        <v>-78038.100088028397</v>
      </c>
      <c r="L5" s="7">
        <f>CalculationSheet!$CE$100</f>
        <v>-264869.80702609982</v>
      </c>
    </row>
    <row r="6" spans="1:27" x14ac:dyDescent="0.25">
      <c r="A6" t="s">
        <v>100</v>
      </c>
      <c r="B6" s="16"/>
      <c r="C6" s="4">
        <v>0.05</v>
      </c>
      <c r="D6" s="14">
        <f>CalculationSheet!$L$100</f>
        <v>-33601.1075080632</v>
      </c>
      <c r="E6" s="6">
        <f>CalculationSheet!$U$100</f>
        <v>-5950.4146834962912</v>
      </c>
      <c r="F6" s="7">
        <f>CalculationSheet!$AD$100</f>
        <v>-1643.1080064933828</v>
      </c>
      <c r="G6" s="7">
        <f>CalculationSheet!$AM$100</f>
        <v>-1658.8642464966347</v>
      </c>
      <c r="H6" s="7">
        <f>CalculationSheet!$AV$100</f>
        <v>-1964.2964271653002</v>
      </c>
      <c r="I6" s="7">
        <f>CalculationSheet!$BE$100</f>
        <v>-2738.292222512237</v>
      </c>
      <c r="J6" s="7">
        <f>CalculationSheet!$BN$100</f>
        <v>-4214.3921194782961</v>
      </c>
      <c r="K6" s="7">
        <f>CalculationSheet!$BW$100</f>
        <v>-70391.539505126741</v>
      </c>
      <c r="L6" s="7">
        <f>CalculationSheet!$CF$100</f>
        <v>-266656.34675358084</v>
      </c>
      <c r="S6" s="2"/>
      <c r="T6" s="2"/>
      <c r="U6" s="2"/>
      <c r="V6" s="2"/>
      <c r="W6" s="2"/>
      <c r="X6" s="2"/>
      <c r="Y6" s="2"/>
      <c r="Z6" s="2"/>
      <c r="AA6" s="2"/>
    </row>
    <row r="7" spans="1:27" x14ac:dyDescent="0.25">
      <c r="A7">
        <v>3.5000000000000001E-3</v>
      </c>
      <c r="B7" s="16"/>
      <c r="C7" s="4">
        <v>0.01</v>
      </c>
      <c r="D7" s="14">
        <f>CalculationSheet!$M$100</f>
        <v>-30326.642056611348</v>
      </c>
      <c r="E7" s="7">
        <f>CalculationSheet!$V$100</f>
        <v>-951.53014832094277</v>
      </c>
      <c r="F7" s="6">
        <f>CalculationSheet!$AE$100</f>
        <v>-11.462093347696509</v>
      </c>
      <c r="G7" s="7">
        <f>CalculationSheet!$AN$100</f>
        <v>-121.87377117005946</v>
      </c>
      <c r="H7" s="7">
        <f>CalculationSheet!$AW$100</f>
        <v>-232.15760554435752</v>
      </c>
      <c r="I7" s="7">
        <f>CalculationSheet!$BF$100</f>
        <v>-476.7534004690674</v>
      </c>
      <c r="J7" s="7">
        <f>CalculationSheet!$BO$100</f>
        <v>-1099.0803303139696</v>
      </c>
      <c r="K7" s="7">
        <f>CalculationSheet!$BX$100</f>
        <v>-65609.591498511232</v>
      </c>
      <c r="L7" s="7">
        <f>CalculationSheet!$CG$100</f>
        <v>-268123.49500016629</v>
      </c>
    </row>
    <row r="8" spans="1:27" x14ac:dyDescent="0.25">
      <c r="B8" s="16"/>
      <c r="C8" s="4">
        <v>5.0000000000000001E-3</v>
      </c>
      <c r="D8" s="14">
        <f>CalculationSheet!$N$100</f>
        <v>-29968.243551355692</v>
      </c>
      <c r="E8" s="7">
        <f>CalculationSheet!$W$100</f>
        <v>-277.97829657149674</v>
      </c>
      <c r="F8" s="7">
        <f>CalculationSheet!$AF$100</f>
        <v>170.21954754179973</v>
      </c>
      <c r="G8" s="6">
        <f>CalculationSheet!$AO$100</f>
        <v>13.589942059881764</v>
      </c>
      <c r="H8" s="14">
        <f>CalculationSheet!$AX$100</f>
        <v>-107.73129501884807</v>
      </c>
      <c r="I8" s="7">
        <f>CalculationSheet!$BG$100</f>
        <v>-315.02982312547101</v>
      </c>
      <c r="J8" s="7">
        <f>CalculationSheet!$BP$100</f>
        <v>-844.83147950498505</v>
      </c>
      <c r="K8" s="7">
        <f>CalculationSheet!$BY$100</f>
        <v>-65127.761109524086</v>
      </c>
      <c r="L8" s="7">
        <f>CalculationSheet!$CH$100</f>
        <v>-268264.09801396518</v>
      </c>
    </row>
    <row r="9" spans="1:27" x14ac:dyDescent="0.25">
      <c r="A9" t="s">
        <v>108</v>
      </c>
      <c r="B9" s="16"/>
      <c r="C9" s="5">
        <v>0</v>
      </c>
      <c r="D9" s="14">
        <f>CalculationSheet!$O$100</f>
        <v>-29624.285270751381</v>
      </c>
      <c r="E9" s="7">
        <f>CalculationSheet!$X$100</f>
        <v>405.84461308147706</v>
      </c>
      <c r="F9" s="7">
        <f>CalculationSheet!$AG$100</f>
        <v>351.54179536441052</v>
      </c>
      <c r="G9" s="7">
        <f>CalculationSheet!$AP$100</f>
        <v>141.33434921204818</v>
      </c>
      <c r="H9" s="6">
        <f>CalculationSheet!$AY$100</f>
        <v>0</v>
      </c>
      <c r="I9" s="7">
        <f>CalculationSheet!$BH$100</f>
        <v>-178.83747486583758</v>
      </c>
      <c r="J9" s="7">
        <f>CalculationSheet!$BQ$100</f>
        <v>-622.23878280515987</v>
      </c>
      <c r="K9" s="7">
        <f>CalculationSheet!$BZ$100</f>
        <v>-64676.947754261077</v>
      </c>
      <c r="L9" s="7">
        <f>CalculationSheet!CI$100</f>
        <v>-268390.76039635122</v>
      </c>
      <c r="V9" s="1"/>
    </row>
    <row r="10" spans="1:27" x14ac:dyDescent="0.25">
      <c r="A10" s="8">
        <v>4</v>
      </c>
      <c r="B10" s="16"/>
      <c r="C10" s="4">
        <v>-5.0000000000000001E-3</v>
      </c>
      <c r="D10" s="14">
        <f>CalculationSheet!$P$100</f>
        <v>-29295.726364273109</v>
      </c>
      <c r="E10" s="7">
        <f>CalculationSheet!$Y$100</f>
        <v>1099.9797909040526</v>
      </c>
      <c r="F10" s="7">
        <f>CalculationSheet!$AH$100</f>
        <v>533.52340178388431</v>
      </c>
      <c r="G10" s="7">
        <f>CalculationSheet!$AQ$100</f>
        <v>262.8950975350624</v>
      </c>
      <c r="H10" s="7">
        <f>CalculationSheet!$AZ$100</f>
        <v>92.667052149179455</v>
      </c>
      <c r="I10" s="6">
        <f>CalculationSheet!$BI$100</f>
        <v>-67.052291089536709</v>
      </c>
      <c r="J10" s="7">
        <f>CalculationSheet!$BR$100</f>
        <v>-431.18935638481577</v>
      </c>
      <c r="K10" s="7">
        <f>CalculationSheet!$CA$100</f>
        <v>-64259.071101389949</v>
      </c>
      <c r="L10" s="7">
        <f>CalculationSheet!$CJ$100</f>
        <v>-268502.66076156095</v>
      </c>
    </row>
    <row r="11" spans="1:27" x14ac:dyDescent="0.25">
      <c r="A11" t="s">
        <v>109</v>
      </c>
      <c r="B11" s="16"/>
      <c r="C11" s="4">
        <v>-0.01</v>
      </c>
      <c r="D11" s="14">
        <f>CalculationSheet!$Q$100</f>
        <v>-28983.483826440781</v>
      </c>
      <c r="E11" s="7">
        <f>CalculationSheet!$Z$100</f>
        <v>1804.6240032870462</v>
      </c>
      <c r="F11" s="7">
        <f>CalculationSheet!$AI$100</f>
        <v>716.83697374319468</v>
      </c>
      <c r="G11" s="7">
        <f>CalculationSheet!$AR$100</f>
        <v>379.64184628283499</v>
      </c>
      <c r="H11" s="7">
        <f>CalculationSheet!$BA$100</f>
        <v>171.99166548750588</v>
      </c>
      <c r="I11" s="7">
        <f>CalculationSheet!$BJ$100</f>
        <v>21.765340077174812</v>
      </c>
      <c r="J11" s="6">
        <f>CalculationSheet!$BS$100</f>
        <v>-271.20361780917989</v>
      </c>
      <c r="K11" s="7">
        <f>CalculationSheet!$CB$100</f>
        <v>-63876.208111132219</v>
      </c>
      <c r="L11" s="7">
        <f>CalculationSheet!$CK$100</f>
        <v>-268599.27204279118</v>
      </c>
      <c r="Q11" s="9"/>
    </row>
    <row r="12" spans="1:27" x14ac:dyDescent="0.25">
      <c r="A12" s="8">
        <v>24</v>
      </c>
      <c r="B12" s="16"/>
      <c r="C12" s="10">
        <v>-0.05</v>
      </c>
      <c r="D12" s="14">
        <f>CalculationSheet!$R$100</f>
        <v>-27135.211294039604</v>
      </c>
      <c r="E12" s="7">
        <f>CalculationSheet!$AA$100</f>
        <v>7879.6308482100185</v>
      </c>
      <c r="F12" s="7">
        <f>CalculationSheet!$AJ$100</f>
        <v>2107.2169294539153</v>
      </c>
      <c r="G12" s="7">
        <f>CalculationSheet!$AS$100</f>
        <v>1117.533365499771</v>
      </c>
      <c r="H12" s="7">
        <f>CalculationSheet!$BB$100</f>
        <v>428.82128799809686</v>
      </c>
      <c r="I12" s="7">
        <f>CalculationSheet!$BK$100</f>
        <v>127.52918343204379</v>
      </c>
      <c r="J12" s="7">
        <f>CalculationSheet!$BT$100</f>
        <v>126.95573734672004</v>
      </c>
      <c r="K12" s="6">
        <f>CalculationSheet!$CC$100</f>
        <v>-62381.853379605076</v>
      </c>
      <c r="L12" s="7">
        <f>CalculationSheet!$CL$100</f>
        <v>-268892.67808791786</v>
      </c>
    </row>
    <row r="13" spans="1:27" x14ac:dyDescent="0.25">
      <c r="A13" s="11"/>
      <c r="B13" s="16"/>
      <c r="C13" s="4">
        <v>-0.1</v>
      </c>
      <c r="D13" s="14">
        <f>CalculationSheet!$S$100</f>
        <v>-26031.802424239682</v>
      </c>
      <c r="E13" s="7">
        <f>CalculationSheet!$AB$100</f>
        <v>15986.279212162091</v>
      </c>
      <c r="F13" s="7">
        <f>CalculationSheet!$AK$100</f>
        <v>2381.7453387272717</v>
      </c>
      <c r="G13" s="7">
        <f>CalculationSheet!$AT$100</f>
        <v>99.457244923630185</v>
      </c>
      <c r="H13" s="7">
        <f>CalculationSheet!$BC$100</f>
        <v>-2503.9845571020956</v>
      </c>
      <c r="I13" s="7">
        <f>CalculationSheet!$BL$100</f>
        <v>-4438.7712989075726</v>
      </c>
      <c r="J13" s="7">
        <f>CalculationSheet!$BU$100</f>
        <v>-1051.5381319109479</v>
      </c>
      <c r="K13" s="7">
        <f>CalculationSheet!$CD$100</f>
        <v>-63981.082330692981</v>
      </c>
      <c r="L13" s="6">
        <f>CalculationSheet!$CM$100</f>
        <v>-268895.0014143273</v>
      </c>
    </row>
    <row r="14" spans="1:27" x14ac:dyDescent="0.25">
      <c r="A14" t="s">
        <v>110</v>
      </c>
    </row>
    <row r="15" spans="1:27" x14ac:dyDescent="0.25">
      <c r="A15" s="12">
        <f>SUM(J34:J128)</f>
        <v>-0.29919549311155025</v>
      </c>
    </row>
    <row r="17" spans="1:17" x14ac:dyDescent="0.25">
      <c r="A17" t="s">
        <v>111</v>
      </c>
    </row>
    <row r="18" spans="1:17" x14ac:dyDescent="0.25">
      <c r="A18" s="1">
        <f>SUM(K34:K128)</f>
        <v>-6.8764109703082776E-3</v>
      </c>
    </row>
    <row r="20" spans="1:17" x14ac:dyDescent="0.25">
      <c r="A20" s="13" t="s">
        <v>112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x14ac:dyDescent="0.25">
      <c r="A21" s="13">
        <f>SUM(L34:L128)</f>
        <v>-399.66840337845349</v>
      </c>
    </row>
    <row r="23" spans="1:17" x14ac:dyDescent="0.25">
      <c r="A23" t="s">
        <v>113</v>
      </c>
    </row>
    <row r="24" spans="1:17" x14ac:dyDescent="0.25">
      <c r="A24" s="13">
        <f>SUM(M34:M128)</f>
        <v>1837.355486101616</v>
      </c>
    </row>
    <row r="25" spans="1:17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31" spans="1:17" x14ac:dyDescent="0.25">
      <c r="A31" s="18" t="s">
        <v>114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7" x14ac:dyDescent="0.25">
      <c r="M32" s="2"/>
      <c r="N32" s="19"/>
      <c r="O32" s="19"/>
      <c r="P32" s="19"/>
      <c r="Q32" s="19"/>
    </row>
    <row r="33" spans="1:17" x14ac:dyDescent="0.25">
      <c r="A33" s="2" t="s">
        <v>95</v>
      </c>
      <c r="B33" s="2" t="s">
        <v>96</v>
      </c>
      <c r="C33" s="2" t="s">
        <v>97</v>
      </c>
      <c r="D33" s="2" t="s">
        <v>98</v>
      </c>
      <c r="E33" s="2" t="s">
        <v>99</v>
      </c>
      <c r="F33" s="2" t="s">
        <v>100</v>
      </c>
      <c r="G33" s="2" t="s">
        <v>101</v>
      </c>
      <c r="H33" s="2" t="s">
        <v>102</v>
      </c>
      <c r="I33" s="2" t="s">
        <v>103</v>
      </c>
      <c r="J33" s="2" t="s">
        <v>116</v>
      </c>
      <c r="K33" s="2" t="s">
        <v>117</v>
      </c>
      <c r="L33" s="2" t="s">
        <v>118</v>
      </c>
      <c r="M33" s="2" t="s">
        <v>119</v>
      </c>
      <c r="N33" s="2"/>
      <c r="O33" s="2"/>
      <c r="P33" s="2"/>
      <c r="Q33" s="2"/>
    </row>
    <row r="34" spans="1:17" x14ac:dyDescent="0.25">
      <c r="A34" t="s">
        <v>0</v>
      </c>
      <c r="B34">
        <v>-5</v>
      </c>
      <c r="D34">
        <v>1775.63</v>
      </c>
      <c r="I34">
        <f>PnLF(($D$36-($D$35-$D$34)),$D$34,$B34)</f>
        <v>0</v>
      </c>
      <c r="J34" s="17">
        <f>B35+B34</f>
        <v>108</v>
      </c>
      <c r="N34" s="16"/>
    </row>
    <row r="35" spans="1:17" x14ac:dyDescent="0.25">
      <c r="A35" t="s">
        <v>1</v>
      </c>
      <c r="B35">
        <v>113</v>
      </c>
      <c r="D35">
        <v>1781.86</v>
      </c>
      <c r="I35">
        <f>PnLF($D$36,$D$35,B$35)</f>
        <v>0</v>
      </c>
      <c r="J35" s="17"/>
      <c r="N35" s="16"/>
    </row>
    <row r="36" spans="1:17" x14ac:dyDescent="0.25">
      <c r="A36" t="s">
        <v>2</v>
      </c>
      <c r="B36">
        <v>5</v>
      </c>
      <c r="C36">
        <v>0</v>
      </c>
      <c r="D36">
        <f>A4</f>
        <v>1781.86</v>
      </c>
      <c r="E36">
        <v>1555</v>
      </c>
      <c r="F36">
        <v>3.5000000000000001E-3</v>
      </c>
      <c r="G36">
        <v>0.40075499999999997</v>
      </c>
      <c r="H36">
        <f>BSTV(($D$36*(1+H$4)),$E36,$A$7,($G36+$C$9),($A$10/260),$C36)</f>
        <v>7.6692672477798318E-2</v>
      </c>
      <c r="I36">
        <f>PnL(($D$36*(1+H$4)),$E36,$A$7,($G36+$C$9),($A$10/260),$C36,$B36,$H36)</f>
        <v>0</v>
      </c>
      <c r="J36">
        <f>Delta1($D$36,$E36,$A$7,$G36,($A$10/260),$C36,$B36)</f>
        <v>-1.4204273683217673E-2</v>
      </c>
      <c r="K36">
        <f>Gamma($D$36,$E36,$A$7,$G36,($A$10/260),$B36)</f>
        <v>4.9171860463315055E-4</v>
      </c>
      <c r="L36">
        <f>Vega($D$36,$E36,$A$7,$G36,($A$10/260),$B36)</f>
        <v>9.6256350316333101</v>
      </c>
      <c r="M36">
        <f>Theta($D$36,$E36,$A$7,$G36,($A$10/260),$C36,$B36)</f>
        <v>-125.27951721418523</v>
      </c>
    </row>
    <row r="37" spans="1:17" x14ac:dyDescent="0.25">
      <c r="A37" t="s">
        <v>3</v>
      </c>
      <c r="B37">
        <v>-2</v>
      </c>
      <c r="C37">
        <v>0</v>
      </c>
      <c r="E37">
        <v>1580</v>
      </c>
      <c r="F37">
        <v>3.5000000000000001E-3</v>
      </c>
      <c r="G37">
        <v>0.36719200000000002</v>
      </c>
      <c r="H37">
        <f t="shared" ref="H37:H100" si="0">BSTV(($D$36*(1+H$4)),$E37,$A$7,($G37+$C$9),($A$10/260),$C37)</f>
        <v>9.8057345446670219E-2</v>
      </c>
      <c r="I37">
        <f t="shared" ref="I37:I100" si="1">PnL(($D$36*(1+H$4)),$E37,$A$7,($G37+$C$9),($A$10/260),$C37,$B37,$H37)</f>
        <v>0</v>
      </c>
      <c r="J37">
        <f t="shared" ref="J37:J100" si="2">Delta1($D$36,$E37,$A$7,$G37,($A$10/260),$C37,$B37)</f>
        <v>7.725183472314919E-3</v>
      </c>
      <c r="K37">
        <f t="shared" ref="K37:K100" si="3">Gamma($D$36,$E37,$A$7,$G37,($A$10/260),$B37)</f>
        <v>-2.8296405092096685E-4</v>
      </c>
      <c r="L37">
        <f>Vega($D$36,$E37,$A$7,$G37,($A$10/260),$B37)</f>
        <v>-5.0752597671659538</v>
      </c>
      <c r="M37">
        <f t="shared" ref="M37:M100" si="4">Theta($D$36,$E37,$A$7,$G37,($A$10/260),$C37,$B37)</f>
        <v>60.517965908423982</v>
      </c>
    </row>
    <row r="38" spans="1:17" x14ac:dyDescent="0.25">
      <c r="A38" t="s">
        <v>4</v>
      </c>
      <c r="B38">
        <v>-2</v>
      </c>
      <c r="C38">
        <v>0</v>
      </c>
      <c r="E38">
        <v>1590</v>
      </c>
      <c r="F38">
        <v>3.5000000000000001E-3</v>
      </c>
      <c r="G38">
        <v>0.35370000000000001</v>
      </c>
      <c r="H38">
        <f t="shared" si="0"/>
        <v>0.10875988628108946</v>
      </c>
      <c r="I38">
        <f t="shared" si="1"/>
        <v>0</v>
      </c>
      <c r="J38">
        <f t="shared" si="2"/>
        <v>8.7943378421336087E-3</v>
      </c>
      <c r="K38">
        <f t="shared" si="3"/>
        <v>-3.2988505640550785E-4</v>
      </c>
      <c r="L38">
        <f t="shared" ref="L38:L101" si="5">Vega($D$36,$E38,$A$7,$G38,($A$10/260),$B38)</f>
        <v>-5.6994310399000616</v>
      </c>
      <c r="M38">
        <f t="shared" si="4"/>
        <v>65.460777366311362</v>
      </c>
    </row>
    <row r="39" spans="1:17" x14ac:dyDescent="0.25">
      <c r="A39" t="s">
        <v>5</v>
      </c>
      <c r="B39">
        <v>-8</v>
      </c>
      <c r="C39">
        <v>0</v>
      </c>
      <c r="E39">
        <v>1600</v>
      </c>
      <c r="F39">
        <v>3.5000000000000001E-3</v>
      </c>
      <c r="G39">
        <v>0.34018700000000002</v>
      </c>
      <c r="H39">
        <f t="shared" si="0"/>
        <v>0.12113403694715608</v>
      </c>
      <c r="I39">
        <f t="shared" si="1"/>
        <v>0</v>
      </c>
      <c r="J39">
        <f t="shared" si="2"/>
        <v>4.0244492050255959E-2</v>
      </c>
      <c r="K39">
        <f t="shared" si="3"/>
        <v>-1.5469381254896854E-3</v>
      </c>
      <c r="L39">
        <f t="shared" si="5"/>
        <v>-25.705405382693371</v>
      </c>
      <c r="M39">
        <f t="shared" si="4"/>
        <v>283.94657714982429</v>
      </c>
    </row>
    <row r="40" spans="1:17" x14ac:dyDescent="0.25">
      <c r="A40" t="s">
        <v>6</v>
      </c>
      <c r="B40">
        <v>3</v>
      </c>
      <c r="C40">
        <v>0</v>
      </c>
      <c r="E40">
        <v>1620</v>
      </c>
      <c r="F40">
        <v>3.5000000000000001E-3</v>
      </c>
      <c r="G40">
        <v>0.31315100000000001</v>
      </c>
      <c r="H40">
        <f t="shared" si="0"/>
        <v>0.15273367386913961</v>
      </c>
      <c r="I40">
        <f t="shared" si="1"/>
        <v>0</v>
      </c>
      <c r="J40">
        <f t="shared" si="2"/>
        <v>-2.0120052658807067E-2</v>
      </c>
      <c r="K40">
        <f t="shared" si="3"/>
        <v>8.133455351983657E-4</v>
      </c>
      <c r="L40">
        <f t="shared" si="5"/>
        <v>12.441212001604285</v>
      </c>
      <c r="M40">
        <f t="shared" si="4"/>
        <v>-126.49220172103468</v>
      </c>
    </row>
    <row r="41" spans="1:17" x14ac:dyDescent="0.25">
      <c r="A41" t="s">
        <v>7</v>
      </c>
      <c r="B41">
        <v>1</v>
      </c>
      <c r="C41">
        <v>0</v>
      </c>
      <c r="E41">
        <v>1630</v>
      </c>
      <c r="F41">
        <v>3.5000000000000001E-3</v>
      </c>
      <c r="G41">
        <v>0.299655</v>
      </c>
      <c r="H41">
        <f t="shared" si="0"/>
        <v>0.17328099605311564</v>
      </c>
      <c r="I41">
        <f t="shared" si="1"/>
        <v>0</v>
      </c>
      <c r="J41">
        <f t="shared" si="2"/>
        <v>-7.8313633551566914E-3</v>
      </c>
      <c r="K41">
        <f t="shared" si="3"/>
        <v>3.2483000439095214E-4</v>
      </c>
      <c r="L41">
        <f t="shared" si="5"/>
        <v>4.7545724267842715</v>
      </c>
      <c r="M41">
        <f t="shared" si="4"/>
        <v>-46.254323658447078</v>
      </c>
    </row>
    <row r="42" spans="1:17" x14ac:dyDescent="0.25">
      <c r="A42" t="s">
        <v>8</v>
      </c>
      <c r="B42">
        <v>3</v>
      </c>
      <c r="C42">
        <v>0</v>
      </c>
      <c r="E42">
        <v>1640</v>
      </c>
      <c r="F42">
        <v>3.5000000000000001E-3</v>
      </c>
      <c r="G42">
        <v>0.28619099999999997</v>
      </c>
      <c r="H42">
        <f t="shared" si="0"/>
        <v>0.1982742305056604</v>
      </c>
      <c r="I42">
        <f t="shared" si="1"/>
        <v>0</v>
      </c>
      <c r="J42">
        <f t="shared" si="2"/>
        <v>-2.7682062608258486E-2</v>
      </c>
      <c r="K42">
        <f t="shared" si="3"/>
        <v>1.1783019260023315E-3</v>
      </c>
      <c r="L42">
        <f t="shared" si="5"/>
        <v>16.472001019005109</v>
      </c>
      <c r="M42">
        <f t="shared" si="4"/>
        <v>-153.03477807828062</v>
      </c>
    </row>
    <row r="43" spans="1:17" x14ac:dyDescent="0.25">
      <c r="A43" t="s">
        <v>9</v>
      </c>
      <c r="B43">
        <v>-5</v>
      </c>
      <c r="C43">
        <v>0</v>
      </c>
      <c r="E43">
        <v>1645</v>
      </c>
      <c r="F43">
        <v>3.5000000000000001E-3</v>
      </c>
      <c r="G43">
        <v>0.279474</v>
      </c>
      <c r="H43">
        <f t="shared" si="0"/>
        <v>0.21285619120132893</v>
      </c>
      <c r="I43">
        <f t="shared" si="1"/>
        <v>0</v>
      </c>
      <c r="J43">
        <f t="shared" si="2"/>
        <v>5.0268226121367228E-2</v>
      </c>
      <c r="K43">
        <f t="shared" si="3"/>
        <v>-2.1675631480037169E-3</v>
      </c>
      <c r="L43">
        <f t="shared" si="5"/>
        <v>-29.59013661973696</v>
      </c>
      <c r="M43">
        <f t="shared" si="4"/>
        <v>268.44717657585772</v>
      </c>
    </row>
    <row r="44" spans="1:17" x14ac:dyDescent="0.25">
      <c r="A44" t="s">
        <v>10</v>
      </c>
      <c r="B44">
        <v>-1</v>
      </c>
      <c r="C44">
        <v>1</v>
      </c>
      <c r="E44">
        <v>1650</v>
      </c>
      <c r="F44">
        <v>3.5000000000000001E-3</v>
      </c>
      <c r="G44">
        <v>0.27276899999999998</v>
      </c>
      <c r="H44">
        <f t="shared" si="0"/>
        <v>132.17795920326648</v>
      </c>
      <c r="I44">
        <f t="shared" si="1"/>
        <v>0</v>
      </c>
      <c r="J44">
        <f t="shared" si="2"/>
        <v>-0.98901627263884651</v>
      </c>
      <c r="K44">
        <f t="shared" si="3"/>
        <v>-4.7976776857813915E-4</v>
      </c>
      <c r="L44">
        <f t="shared" si="5"/>
        <v>-6.3923402058093677</v>
      </c>
      <c r="M44">
        <f t="shared" si="4"/>
        <v>62.373434999211959</v>
      </c>
    </row>
    <row r="45" spans="1:17" x14ac:dyDescent="0.25">
      <c r="A45" t="s">
        <v>11</v>
      </c>
      <c r="B45">
        <v>5</v>
      </c>
      <c r="C45">
        <v>0</v>
      </c>
      <c r="E45">
        <v>1650</v>
      </c>
      <c r="F45">
        <v>3.5000000000000001E-3</v>
      </c>
      <c r="G45">
        <v>0.27276899999999998</v>
      </c>
      <c r="H45">
        <f t="shared" si="0"/>
        <v>0.22911544138935724</v>
      </c>
      <c r="I45">
        <f t="shared" si="1"/>
        <v>0</v>
      </c>
      <c r="J45">
        <f t="shared" si="2"/>
        <v>-5.4918636805767557E-2</v>
      </c>
      <c r="K45">
        <f t="shared" si="3"/>
        <v>2.398838842890696E-3</v>
      </c>
      <c r="L45">
        <f t="shared" si="5"/>
        <v>31.961701029046839</v>
      </c>
      <c r="M45">
        <f t="shared" si="4"/>
        <v>-282.99372976189267</v>
      </c>
    </row>
    <row r="46" spans="1:17" x14ac:dyDescent="0.25">
      <c r="A46" t="s">
        <v>12</v>
      </c>
      <c r="B46">
        <v>-5</v>
      </c>
      <c r="C46">
        <v>0</v>
      </c>
      <c r="E46">
        <v>1655</v>
      </c>
      <c r="F46">
        <v>3.5000000000000001E-3</v>
      </c>
      <c r="G46">
        <v>0.26607799999999998</v>
      </c>
      <c r="H46">
        <f t="shared" si="0"/>
        <v>0.2473215951526484</v>
      </c>
      <c r="I46">
        <f t="shared" si="1"/>
        <v>0</v>
      </c>
      <c r="J46">
        <f t="shared" si="2"/>
        <v>6.0173627982082756E-2</v>
      </c>
      <c r="K46">
        <f t="shared" si="3"/>
        <v>-2.6623003063476272E-3</v>
      </c>
      <c r="L46">
        <f t="shared" si="5"/>
        <v>-34.601889140072288</v>
      </c>
      <c r="M46">
        <f t="shared" si="4"/>
        <v>298.84144584433324</v>
      </c>
    </row>
    <row r="47" spans="1:17" x14ac:dyDescent="0.25">
      <c r="A47" t="s">
        <v>13</v>
      </c>
      <c r="B47">
        <v>4</v>
      </c>
      <c r="C47">
        <v>0</v>
      </c>
      <c r="E47">
        <v>1660</v>
      </c>
      <c r="F47">
        <v>3.5000000000000001E-3</v>
      </c>
      <c r="G47">
        <v>0.25940200000000002</v>
      </c>
      <c r="H47">
        <f t="shared" si="0"/>
        <v>0.26778944883258049</v>
      </c>
      <c r="I47">
        <f t="shared" si="1"/>
        <v>0</v>
      </c>
      <c r="J47">
        <f t="shared" si="2"/>
        <v>-5.2907485214810535E-2</v>
      </c>
      <c r="K47">
        <f t="shared" si="3"/>
        <v>2.37076108055141E-3</v>
      </c>
      <c r="L47">
        <f t="shared" si="5"/>
        <v>30.039652886562511</v>
      </c>
      <c r="M47">
        <f t="shared" si="4"/>
        <v>-252.91753912470227</v>
      </c>
    </row>
    <row r="48" spans="1:17" x14ac:dyDescent="0.25">
      <c r="A48" t="s">
        <v>14</v>
      </c>
      <c r="B48">
        <v>-5</v>
      </c>
      <c r="C48">
        <v>0</v>
      </c>
      <c r="E48">
        <v>1665</v>
      </c>
      <c r="F48">
        <v>3.5000000000000001E-3</v>
      </c>
      <c r="G48">
        <v>0.252743</v>
      </c>
      <c r="H48">
        <f t="shared" si="0"/>
        <v>0.29090406307239292</v>
      </c>
      <c r="I48">
        <f t="shared" si="1"/>
        <v>0</v>
      </c>
      <c r="J48">
        <f t="shared" si="2"/>
        <v>7.2923820109598803E-2</v>
      </c>
      <c r="K48">
        <f t="shared" si="3"/>
        <v>-3.3089378152203011E-3</v>
      </c>
      <c r="L48">
        <f t="shared" si="5"/>
        <v>-40.850891855433787</v>
      </c>
      <c r="M48">
        <f t="shared" si="4"/>
        <v>335.09537025262631</v>
      </c>
    </row>
    <row r="49" spans="1:13" x14ac:dyDescent="0.25">
      <c r="A49" t="s">
        <v>15</v>
      </c>
      <c r="B49">
        <v>6</v>
      </c>
      <c r="C49">
        <v>0</v>
      </c>
      <c r="E49">
        <v>1670</v>
      </c>
      <c r="F49">
        <v>3.5000000000000001E-3</v>
      </c>
      <c r="G49">
        <v>0.24610099999999999</v>
      </c>
      <c r="H49">
        <f t="shared" si="0"/>
        <v>0.31711209721110478</v>
      </c>
      <c r="I49">
        <f t="shared" si="1"/>
        <v>0</v>
      </c>
      <c r="J49">
        <f t="shared" si="2"/>
        <v>-9.6824549911225688E-2</v>
      </c>
      <c r="K49">
        <f t="shared" si="3"/>
        <v>4.4479847214441617E-3</v>
      </c>
      <c r="L49">
        <f t="shared" si="5"/>
        <v>53.470034704047038</v>
      </c>
      <c r="M49">
        <f t="shared" si="4"/>
        <v>-427.05793621996384</v>
      </c>
    </row>
    <row r="50" spans="1:13" x14ac:dyDescent="0.25">
      <c r="A50" t="s">
        <v>16</v>
      </c>
      <c r="B50">
        <v>-7</v>
      </c>
      <c r="C50">
        <v>0</v>
      </c>
      <c r="E50">
        <v>1680</v>
      </c>
      <c r="F50">
        <v>3.5000000000000001E-3</v>
      </c>
      <c r="G50">
        <v>0.232877</v>
      </c>
      <c r="H50">
        <f t="shared" si="0"/>
        <v>0.38117250829930782</v>
      </c>
      <c r="I50">
        <f t="shared" si="1"/>
        <v>0</v>
      </c>
      <c r="J50">
        <f t="shared" si="2"/>
        <v>0.1398501121876923</v>
      </c>
      <c r="K50">
        <f t="shared" si="3"/>
        <v>-6.5791219287741724E-3</v>
      </c>
      <c r="L50">
        <f t="shared" si="5"/>
        <v>-74.839061657489736</v>
      </c>
      <c r="M50">
        <f t="shared" si="4"/>
        <v>565.53810990275224</v>
      </c>
    </row>
    <row r="51" spans="1:13" x14ac:dyDescent="0.25">
      <c r="A51" t="s">
        <v>17</v>
      </c>
      <c r="B51">
        <v>6</v>
      </c>
      <c r="C51">
        <v>0</v>
      </c>
      <c r="E51">
        <v>1685</v>
      </c>
      <c r="F51">
        <v>3.5000000000000001E-3</v>
      </c>
      <c r="G51">
        <v>0.226297</v>
      </c>
      <c r="H51">
        <f t="shared" si="0"/>
        <v>0.42051457107200463</v>
      </c>
      <c r="I51">
        <f t="shared" si="1"/>
        <v>0</v>
      </c>
      <c r="J51">
        <f t="shared" si="2"/>
        <v>-0.13417943491527345</v>
      </c>
      <c r="K51">
        <f t="shared" si="3"/>
        <v>6.3840466385131703E-3</v>
      </c>
      <c r="L51">
        <f t="shared" si="5"/>
        <v>70.568136387887535</v>
      </c>
      <c r="M51">
        <f t="shared" si="4"/>
        <v>-518.15847851188209</v>
      </c>
    </row>
    <row r="52" spans="1:13" x14ac:dyDescent="0.25">
      <c r="A52" t="s">
        <v>18</v>
      </c>
      <c r="B52">
        <v>11</v>
      </c>
      <c r="C52">
        <v>0</v>
      </c>
      <c r="E52">
        <v>1690</v>
      </c>
      <c r="F52">
        <v>3.5000000000000001E-3</v>
      </c>
      <c r="G52">
        <v>0.21973899999999999</v>
      </c>
      <c r="H52">
        <f t="shared" si="0"/>
        <v>0.46600102155910861</v>
      </c>
      <c r="I52">
        <f t="shared" si="1"/>
        <v>0</v>
      </c>
      <c r="J52">
        <f t="shared" si="2"/>
        <v>-0.27653301530322533</v>
      </c>
      <c r="K52">
        <f t="shared" si="3"/>
        <v>1.3299652617884144E-2</v>
      </c>
      <c r="L52">
        <f t="shared" si="5"/>
        <v>142.75168460686575</v>
      </c>
      <c r="M52">
        <f t="shared" si="4"/>
        <v>-1017.7211118198136</v>
      </c>
    </row>
    <row r="53" spans="1:13" x14ac:dyDescent="0.25">
      <c r="A53" t="s">
        <v>19</v>
      </c>
      <c r="B53">
        <v>2</v>
      </c>
      <c r="C53">
        <v>0</v>
      </c>
      <c r="E53">
        <v>1695</v>
      </c>
      <c r="F53">
        <v>3.5000000000000001E-3</v>
      </c>
      <c r="G53">
        <v>0.21320600000000001</v>
      </c>
      <c r="H53">
        <f t="shared" si="0"/>
        <v>0.51889870769339552</v>
      </c>
      <c r="I53">
        <f t="shared" si="1"/>
        <v>0</v>
      </c>
      <c r="J53">
        <f t="shared" si="2"/>
        <v>-5.6775615279123455E-2</v>
      </c>
      <c r="K53">
        <f t="shared" si="3"/>
        <v>2.7584340930792181E-3</v>
      </c>
      <c r="L53">
        <f t="shared" si="5"/>
        <v>28.727367815920676</v>
      </c>
      <c r="M53">
        <f t="shared" si="4"/>
        <v>-198.69981944984019</v>
      </c>
    </row>
    <row r="54" spans="1:13" x14ac:dyDescent="0.25">
      <c r="A54" t="s">
        <v>20</v>
      </c>
      <c r="B54">
        <v>-42</v>
      </c>
      <c r="C54">
        <v>0</v>
      </c>
      <c r="E54">
        <v>1700</v>
      </c>
      <c r="F54">
        <v>3.5000000000000001E-3</v>
      </c>
      <c r="G54">
        <v>0.206703</v>
      </c>
      <c r="H54">
        <f t="shared" si="0"/>
        <v>0.58081710037968293</v>
      </c>
      <c r="I54">
        <f t="shared" si="1"/>
        <v>0</v>
      </c>
      <c r="J54">
        <f t="shared" si="2"/>
        <v>1.3528209055879965</v>
      </c>
      <c r="K54">
        <f t="shared" si="3"/>
        <v>-6.6344108640293456E-2</v>
      </c>
      <c r="L54">
        <f t="shared" si="5"/>
        <v>-669.85830185777149</v>
      </c>
      <c r="M54">
        <f t="shared" si="4"/>
        <v>4491.4836572698114</v>
      </c>
    </row>
    <row r="55" spans="1:13" x14ac:dyDescent="0.25">
      <c r="A55" t="s">
        <v>21</v>
      </c>
      <c r="B55">
        <v>4</v>
      </c>
      <c r="C55">
        <v>0</v>
      </c>
      <c r="E55">
        <v>1705</v>
      </c>
      <c r="F55">
        <v>3.5000000000000001E-3</v>
      </c>
      <c r="G55">
        <v>0.200271</v>
      </c>
      <c r="H55">
        <f t="shared" si="0"/>
        <v>0.65441751977311924</v>
      </c>
      <c r="I55">
        <f t="shared" si="1"/>
        <v>0</v>
      </c>
      <c r="J55">
        <f t="shared" si="2"/>
        <v>-0.14703184107935824</v>
      </c>
      <c r="K55">
        <f t="shared" si="3"/>
        <v>7.2689777101682127E-3</v>
      </c>
      <c r="L55">
        <f t="shared" si="5"/>
        <v>71.109103646193532</v>
      </c>
      <c r="M55">
        <f t="shared" si="4"/>
        <v>-461.90933973813526</v>
      </c>
    </row>
    <row r="56" spans="1:13" x14ac:dyDescent="0.25">
      <c r="A56" t="s">
        <v>22</v>
      </c>
      <c r="B56">
        <v>19</v>
      </c>
      <c r="C56">
        <v>0</v>
      </c>
      <c r="E56">
        <v>1710</v>
      </c>
      <c r="F56">
        <v>3.5000000000000001E-3</v>
      </c>
      <c r="G56">
        <v>0.193971</v>
      </c>
      <c r="H56">
        <f t="shared" si="0"/>
        <v>0.74359354842792413</v>
      </c>
      <c r="I56">
        <f t="shared" si="1"/>
        <v>0</v>
      </c>
      <c r="J56">
        <f t="shared" si="2"/>
        <v>-0.80260971149839766</v>
      </c>
      <c r="K56">
        <f t="shared" si="3"/>
        <v>3.9919543285761208E-2</v>
      </c>
      <c r="L56">
        <f t="shared" si="5"/>
        <v>378.23017134240877</v>
      </c>
      <c r="M56">
        <f t="shared" si="4"/>
        <v>-2379.3298159145702</v>
      </c>
    </row>
    <row r="57" spans="1:13" x14ac:dyDescent="0.25">
      <c r="A57" t="s">
        <v>23</v>
      </c>
      <c r="B57">
        <v>-9</v>
      </c>
      <c r="C57">
        <v>0</v>
      </c>
      <c r="E57">
        <v>1720</v>
      </c>
      <c r="F57">
        <v>3.5000000000000001E-3</v>
      </c>
      <c r="G57">
        <v>0.182005</v>
      </c>
      <c r="H57">
        <f t="shared" si="0"/>
        <v>0.99110152671491392</v>
      </c>
      <c r="I57">
        <f t="shared" si="1"/>
        <v>0</v>
      </c>
      <c r="J57">
        <f t="shared" si="2"/>
        <v>0.514681511052831</v>
      </c>
      <c r="K57">
        <f t="shared" si="3"/>
        <v>-2.5666365819396863E-2</v>
      </c>
      <c r="L57">
        <f t="shared" si="5"/>
        <v>-228.18206162899207</v>
      </c>
      <c r="M57">
        <f t="shared" si="4"/>
        <v>1346.4929380319149</v>
      </c>
    </row>
    <row r="58" spans="1:13" x14ac:dyDescent="0.25">
      <c r="A58" t="s">
        <v>24</v>
      </c>
      <c r="B58">
        <v>5</v>
      </c>
      <c r="C58">
        <v>1</v>
      </c>
      <c r="E58">
        <v>1725</v>
      </c>
      <c r="F58">
        <v>3.5000000000000001E-3</v>
      </c>
      <c r="G58">
        <v>0.176455</v>
      </c>
      <c r="H58">
        <f t="shared" si="0"/>
        <v>58.118408644060537</v>
      </c>
      <c r="I58">
        <f t="shared" si="1"/>
        <v>0</v>
      </c>
      <c r="J58">
        <f t="shared" si="2"/>
        <v>4.6628235202562847</v>
      </c>
      <c r="K58">
        <f t="shared" si="3"/>
        <v>1.6725941683763811E-2</v>
      </c>
      <c r="L58">
        <f t="shared" si="5"/>
        <v>144.16450594915585</v>
      </c>
      <c r="M58">
        <f t="shared" si="4"/>
        <v>-854.81548002193699</v>
      </c>
    </row>
    <row r="59" spans="1:13" x14ac:dyDescent="0.25">
      <c r="A59" t="s">
        <v>25</v>
      </c>
      <c r="B59">
        <v>-1</v>
      </c>
      <c r="C59">
        <v>0</v>
      </c>
      <c r="E59">
        <v>1725</v>
      </c>
      <c r="F59">
        <v>3.5000000000000001E-3</v>
      </c>
      <c r="G59">
        <v>0.176455</v>
      </c>
      <c r="H59">
        <f t="shared" si="0"/>
        <v>1.1655265293709789</v>
      </c>
      <c r="I59">
        <f t="shared" si="1"/>
        <v>0</v>
      </c>
      <c r="J59">
        <f t="shared" si="2"/>
        <v>6.7435295948743049E-2</v>
      </c>
      <c r="K59">
        <f t="shared" si="3"/>
        <v>-3.3451883367527622E-3</v>
      </c>
      <c r="L59">
        <f t="shared" si="5"/>
        <v>-28.832901189831173</v>
      </c>
      <c r="M59">
        <f t="shared" si="4"/>
        <v>164.92592109178884</v>
      </c>
    </row>
    <row r="60" spans="1:13" x14ac:dyDescent="0.25">
      <c r="A60" t="s">
        <v>26</v>
      </c>
      <c r="B60">
        <v>-9</v>
      </c>
      <c r="C60">
        <v>1</v>
      </c>
      <c r="E60">
        <v>1730</v>
      </c>
      <c r="F60">
        <v>3.5000000000000001E-3</v>
      </c>
      <c r="G60">
        <v>0.17127000000000001</v>
      </c>
      <c r="H60">
        <f t="shared" si="0"/>
        <v>53.342197602788929</v>
      </c>
      <c r="I60">
        <f t="shared" si="1"/>
        <v>0</v>
      </c>
      <c r="J60">
        <f t="shared" si="2"/>
        <v>-8.2779384421433697</v>
      </c>
      <c r="K60">
        <f t="shared" si="3"/>
        <v>-3.5423812906000524E-2</v>
      </c>
      <c r="L60">
        <f t="shared" si="5"/>
        <v>-296.35373420169662</v>
      </c>
      <c r="M60">
        <f t="shared" si="4"/>
        <v>1699.5315484928728</v>
      </c>
    </row>
    <row r="61" spans="1:13" x14ac:dyDescent="0.25">
      <c r="A61" t="s">
        <v>27</v>
      </c>
      <c r="B61">
        <v>23</v>
      </c>
      <c r="C61">
        <v>0</v>
      </c>
      <c r="E61">
        <v>1730</v>
      </c>
      <c r="F61">
        <v>3.5000000000000001E-3</v>
      </c>
      <c r="G61">
        <v>0.17127000000000001</v>
      </c>
      <c r="H61">
        <f t="shared" si="0"/>
        <v>1.3890462645786386</v>
      </c>
      <c r="I61">
        <f t="shared" si="1"/>
        <v>0</v>
      </c>
      <c r="J61">
        <f t="shared" si="2"/>
        <v>-1.8452684256336087</v>
      </c>
      <c r="K61">
        <f t="shared" si="3"/>
        <v>9.0527521870890221E-2</v>
      </c>
      <c r="L61">
        <f t="shared" si="5"/>
        <v>757.34843184878036</v>
      </c>
      <c r="M61">
        <f t="shared" si="4"/>
        <v>-4203.9897892756235</v>
      </c>
    </row>
    <row r="62" spans="1:13" x14ac:dyDescent="0.25">
      <c r="A62" t="s">
        <v>28</v>
      </c>
      <c r="B62">
        <v>5</v>
      </c>
      <c r="C62">
        <v>0</v>
      </c>
      <c r="E62">
        <v>1735</v>
      </c>
      <c r="F62">
        <v>3.5000000000000001E-3</v>
      </c>
      <c r="G62">
        <v>0.16650400000000001</v>
      </c>
      <c r="H62">
        <f t="shared" si="0"/>
        <v>1.677741818554523</v>
      </c>
      <c r="I62">
        <f t="shared" si="1"/>
        <v>0</v>
      </c>
      <c r="J62">
        <f t="shared" si="2"/>
        <v>-0.48112563799753755</v>
      </c>
      <c r="K62">
        <f t="shared" si="3"/>
        <v>2.3182352578796285E-2</v>
      </c>
      <c r="L62">
        <f t="shared" si="5"/>
        <v>188.54541624869688</v>
      </c>
      <c r="M62">
        <f t="shared" si="4"/>
        <v>-1017.2609892454207</v>
      </c>
    </row>
    <row r="63" spans="1:13" x14ac:dyDescent="0.25">
      <c r="A63" t="s">
        <v>29</v>
      </c>
      <c r="B63">
        <v>-22</v>
      </c>
      <c r="C63">
        <v>0</v>
      </c>
      <c r="E63">
        <v>1740</v>
      </c>
      <c r="F63">
        <v>3.5000000000000001E-3</v>
      </c>
      <c r="G63">
        <v>0.162212</v>
      </c>
      <c r="H63">
        <f t="shared" si="0"/>
        <v>2.0526057488421543</v>
      </c>
      <c r="I63">
        <f t="shared" si="1"/>
        <v>0</v>
      </c>
      <c r="J63">
        <f t="shared" si="2"/>
        <v>2.5560358893167341</v>
      </c>
      <c r="K63">
        <f t="shared" si="3"/>
        <v>-0.11998105175496419</v>
      </c>
      <c r="L63">
        <f t="shared" si="5"/>
        <v>-950.66924515720495</v>
      </c>
      <c r="M63">
        <f t="shared" si="4"/>
        <v>4995.7248928250719</v>
      </c>
    </row>
    <row r="64" spans="1:13" x14ac:dyDescent="0.25">
      <c r="A64" t="s">
        <v>30</v>
      </c>
      <c r="B64">
        <v>9</v>
      </c>
      <c r="C64">
        <v>0</v>
      </c>
      <c r="E64">
        <v>1745</v>
      </c>
      <c r="F64">
        <v>3.5000000000000001E-3</v>
      </c>
      <c r="G64">
        <v>0.15840199999999999</v>
      </c>
      <c r="H64">
        <f t="shared" si="0"/>
        <v>2.5381094498347352</v>
      </c>
      <c r="I64">
        <f t="shared" si="1"/>
        <v>0</v>
      </c>
      <c r="J64">
        <f t="shared" si="2"/>
        <v>-1.2676983991067374</v>
      </c>
      <c r="K64">
        <f t="shared" si="3"/>
        <v>5.7456719160652307E-2</v>
      </c>
      <c r="L64">
        <f t="shared" si="5"/>
        <v>444.56501729781058</v>
      </c>
      <c r="M64">
        <f t="shared" si="4"/>
        <v>-2280.6636415845705</v>
      </c>
    </row>
    <row r="65" spans="1:22" x14ac:dyDescent="0.25">
      <c r="A65" t="s">
        <v>31</v>
      </c>
      <c r="B65">
        <v>-29</v>
      </c>
      <c r="C65">
        <v>1</v>
      </c>
      <c r="E65">
        <v>1750</v>
      </c>
      <c r="F65">
        <v>3.5000000000000001E-3</v>
      </c>
      <c r="G65">
        <v>0.15498400000000001</v>
      </c>
      <c r="H65">
        <f t="shared" si="0"/>
        <v>35.11257432744469</v>
      </c>
      <c r="I65">
        <f t="shared" si="1"/>
        <v>0</v>
      </c>
      <c r="J65">
        <f t="shared" si="2"/>
        <v>-24.046406315014291</v>
      </c>
      <c r="K65">
        <f t="shared" si="3"/>
        <v>-0.21489912384922202</v>
      </c>
      <c r="L65">
        <f t="shared" si="5"/>
        <v>-1626.8792166459277</v>
      </c>
      <c r="M65">
        <f t="shared" si="4"/>
        <v>8340.9598038146196</v>
      </c>
    </row>
    <row r="66" spans="1:22" x14ac:dyDescent="0.25">
      <c r="A66" t="s">
        <v>32</v>
      </c>
      <c r="B66">
        <v>18</v>
      </c>
      <c r="C66">
        <v>0</v>
      </c>
      <c r="E66">
        <v>1750</v>
      </c>
      <c r="F66">
        <v>3.5000000000000001E-3</v>
      </c>
      <c r="G66">
        <v>0.15498400000000001</v>
      </c>
      <c r="H66">
        <f t="shared" si="0"/>
        <v>3.1583460951506481</v>
      </c>
      <c r="I66">
        <f t="shared" si="1"/>
        <v>0</v>
      </c>
      <c r="J66">
        <f t="shared" si="2"/>
        <v>-3.0746443561980268</v>
      </c>
      <c r="K66">
        <f t="shared" si="3"/>
        <v>0.13338566307882746</v>
      </c>
      <c r="L66">
        <f t="shared" si="5"/>
        <v>1009.7870999871276</v>
      </c>
      <c r="M66">
        <f t="shared" si="4"/>
        <v>-5066.9034008152948</v>
      </c>
    </row>
    <row r="67" spans="1:22" x14ac:dyDescent="0.25">
      <c r="A67" t="s">
        <v>33</v>
      </c>
      <c r="B67">
        <v>8</v>
      </c>
      <c r="C67">
        <v>0</v>
      </c>
      <c r="E67">
        <v>1755</v>
      </c>
      <c r="F67">
        <v>3.5000000000000001E-3</v>
      </c>
      <c r="G67">
        <v>0.15185899999999999</v>
      </c>
      <c r="H67">
        <f t="shared" si="0"/>
        <v>3.9389303840767411</v>
      </c>
      <c r="I67">
        <f t="shared" si="1"/>
        <v>0</v>
      </c>
      <c r="J67">
        <f t="shared" si="2"/>
        <v>-1.6519172333361785</v>
      </c>
      <c r="K67">
        <f t="shared" si="3"/>
        <v>6.8015662026407783E-2</v>
      </c>
      <c r="L67">
        <f t="shared" si="5"/>
        <v>504.52566796620181</v>
      </c>
      <c r="M67">
        <f t="shared" si="4"/>
        <v>-2479.6323224839543</v>
      </c>
    </row>
    <row r="68" spans="1:22" x14ac:dyDescent="0.25">
      <c r="A68" t="s">
        <v>34</v>
      </c>
      <c r="B68">
        <v>-2</v>
      </c>
      <c r="C68">
        <v>1</v>
      </c>
      <c r="E68">
        <v>1760</v>
      </c>
      <c r="F68">
        <v>3.5000000000000001E-3</v>
      </c>
      <c r="G68">
        <v>0.148921</v>
      </c>
      <c r="H68">
        <f t="shared" si="0"/>
        <v>26.860525453236733</v>
      </c>
      <c r="I68">
        <f t="shared" si="1"/>
        <v>0</v>
      </c>
      <c r="J68">
        <f t="shared" si="2"/>
        <v>-1.5037649138079687</v>
      </c>
      <c r="K68">
        <f t="shared" si="3"/>
        <v>-1.9232362588978594E-2</v>
      </c>
      <c r="L68">
        <f t="shared" si="5"/>
        <v>-139.90150381079866</v>
      </c>
      <c r="M68">
        <f t="shared" si="4"/>
        <v>686.30405633719818</v>
      </c>
    </row>
    <row r="69" spans="1:22" x14ac:dyDescent="0.25">
      <c r="A69" t="s">
        <v>35</v>
      </c>
      <c r="B69">
        <v>10</v>
      </c>
      <c r="C69">
        <v>0</v>
      </c>
      <c r="E69">
        <v>1760</v>
      </c>
      <c r="F69">
        <v>3.5000000000000001E-3</v>
      </c>
      <c r="G69">
        <v>0.148921</v>
      </c>
      <c r="H69">
        <f t="shared" si="0"/>
        <v>4.9057587739012547</v>
      </c>
      <c r="I69">
        <f t="shared" si="1"/>
        <v>0</v>
      </c>
      <c r="J69">
        <f t="shared" si="2"/>
        <v>-2.4811754309601564</v>
      </c>
      <c r="K69">
        <f t="shared" si="3"/>
        <v>9.6161812944892969E-2</v>
      </c>
      <c r="L69">
        <f t="shared" si="5"/>
        <v>699.50751905399329</v>
      </c>
      <c r="M69">
        <f t="shared" si="4"/>
        <v>-3369.9235985197679</v>
      </c>
    </row>
    <row r="70" spans="1:22" x14ac:dyDescent="0.25">
      <c r="A70" t="s">
        <v>36</v>
      </c>
      <c r="B70">
        <v>-7</v>
      </c>
      <c r="C70">
        <v>0</v>
      </c>
      <c r="E70">
        <v>1765</v>
      </c>
      <c r="F70">
        <v>3.5000000000000001E-3</v>
      </c>
      <c r="G70">
        <v>0.14604400000000001</v>
      </c>
      <c r="H70">
        <f t="shared" si="0"/>
        <v>6.0825897285816382</v>
      </c>
      <c r="I70">
        <f t="shared" si="1"/>
        <v>0</v>
      </c>
      <c r="J70">
        <f t="shared" si="2"/>
        <v>2.0697723969647956</v>
      </c>
      <c r="K70">
        <f t="shared" si="3"/>
        <v>-7.490681575356499E-2</v>
      </c>
      <c r="L70">
        <f t="shared" si="5"/>
        <v>-534.36604721548315</v>
      </c>
      <c r="M70">
        <f t="shared" si="4"/>
        <v>2523.2738577852406</v>
      </c>
    </row>
    <row r="71" spans="1:22" x14ac:dyDescent="0.25">
      <c r="A71" t="s">
        <v>37</v>
      </c>
      <c r="B71">
        <v>-1</v>
      </c>
      <c r="C71">
        <v>1</v>
      </c>
      <c r="E71">
        <v>1770</v>
      </c>
      <c r="F71">
        <v>3.5000000000000001E-3</v>
      </c>
      <c r="G71">
        <v>0.1431</v>
      </c>
      <c r="H71">
        <f t="shared" si="0"/>
        <v>19.446234106171687</v>
      </c>
      <c r="I71">
        <f t="shared" si="1"/>
        <v>0</v>
      </c>
      <c r="J71">
        <f t="shared" si="2"/>
        <v>-0.65105090313916003</v>
      </c>
      <c r="K71">
        <f t="shared" si="3"/>
        <v>-1.1698669685992901E-2</v>
      </c>
      <c r="L71">
        <f t="shared" si="5"/>
        <v>-81.772996670371967</v>
      </c>
      <c r="M71">
        <f t="shared" si="4"/>
        <v>384.29798791329722</v>
      </c>
    </row>
    <row r="72" spans="1:22" x14ac:dyDescent="0.25">
      <c r="A72" t="s">
        <v>38</v>
      </c>
      <c r="B72">
        <v>27</v>
      </c>
      <c r="C72">
        <v>0</v>
      </c>
      <c r="E72">
        <v>1770</v>
      </c>
      <c r="F72">
        <v>3.5000000000000001E-3</v>
      </c>
      <c r="G72">
        <v>0.1431</v>
      </c>
      <c r="H72">
        <f t="shared" si="0"/>
        <v>7.4909289797943757</v>
      </c>
      <c r="I72">
        <f t="shared" si="1"/>
        <v>0</v>
      </c>
      <c r="J72">
        <f t="shared" si="2"/>
        <v>-9.4216256152426787</v>
      </c>
      <c r="K72">
        <f t="shared" si="3"/>
        <v>0.31586408152180834</v>
      </c>
      <c r="L72">
        <f t="shared" si="5"/>
        <v>2207.8709101000431</v>
      </c>
      <c r="M72">
        <f t="shared" si="4"/>
        <v>-10208.789679993468</v>
      </c>
    </row>
    <row r="73" spans="1:22" x14ac:dyDescent="0.25">
      <c r="A73" t="s">
        <v>39</v>
      </c>
      <c r="B73">
        <v>-12</v>
      </c>
      <c r="C73">
        <v>1</v>
      </c>
      <c r="E73">
        <v>1775</v>
      </c>
      <c r="F73">
        <v>3.5000000000000001E-3</v>
      </c>
      <c r="G73">
        <v>0.13999300000000001</v>
      </c>
      <c r="H73">
        <f t="shared" si="0"/>
        <v>16.108087124639496</v>
      </c>
      <c r="I73">
        <f t="shared" si="1"/>
        <v>0</v>
      </c>
      <c r="J73">
        <f t="shared" si="2"/>
        <v>-7.109758879777532</v>
      </c>
      <c r="K73">
        <f t="shared" si="3"/>
        <v>-0.15055154007123678</v>
      </c>
      <c r="L73">
        <f t="shared" si="5"/>
        <v>-1029.4975648287634</v>
      </c>
      <c r="M73">
        <f t="shared" si="4"/>
        <v>4727.6432519669615</v>
      </c>
    </row>
    <row r="74" spans="1:22" x14ac:dyDescent="0.25">
      <c r="A74" t="s">
        <v>40</v>
      </c>
      <c r="B74">
        <v>-24</v>
      </c>
      <c r="C74">
        <v>0</v>
      </c>
      <c r="E74">
        <v>1775</v>
      </c>
      <c r="F74">
        <v>3.5000000000000001E-3</v>
      </c>
      <c r="G74">
        <v>0.13999300000000001</v>
      </c>
      <c r="H74">
        <f t="shared" si="0"/>
        <v>9.1525127747413535</v>
      </c>
      <c r="I74">
        <f t="shared" si="1"/>
        <v>0</v>
      </c>
      <c r="J74">
        <f t="shared" si="2"/>
        <v>9.7804822404449361</v>
      </c>
      <c r="K74">
        <f t="shared" si="3"/>
        <v>-0.30110308014247356</v>
      </c>
      <c r="L74">
        <f t="shared" si="5"/>
        <v>-2058.9951296575268</v>
      </c>
      <c r="M74">
        <f t="shared" si="4"/>
        <v>9306.1945321793137</v>
      </c>
    </row>
    <row r="75" spans="1:22" x14ac:dyDescent="0.25">
      <c r="A75" t="s">
        <v>41</v>
      </c>
      <c r="B75">
        <v>-25</v>
      </c>
      <c r="C75">
        <v>1</v>
      </c>
      <c r="E75">
        <v>1780</v>
      </c>
      <c r="F75">
        <v>3.5000000000000001E-3</v>
      </c>
      <c r="G75">
        <v>0.13681699999999999</v>
      </c>
      <c r="H75">
        <f t="shared" si="0"/>
        <v>13.059719992574514</v>
      </c>
      <c r="I75">
        <f t="shared" si="1"/>
        <v>0</v>
      </c>
      <c r="J75">
        <f t="shared" si="2"/>
        <v>-13.229429015972464</v>
      </c>
      <c r="K75">
        <f t="shared" si="3"/>
        <v>-0.32894972847994419</v>
      </c>
      <c r="L75">
        <f t="shared" si="5"/>
        <v>-2198.383199381557</v>
      </c>
      <c r="M75">
        <f t="shared" si="4"/>
        <v>9856.5890520211124</v>
      </c>
      <c r="V75" s="1"/>
    </row>
    <row r="76" spans="1:22" x14ac:dyDescent="0.25">
      <c r="A76" t="s">
        <v>42</v>
      </c>
      <c r="B76">
        <v>25</v>
      </c>
      <c r="C76">
        <v>0</v>
      </c>
      <c r="E76">
        <v>1780</v>
      </c>
      <c r="F76">
        <v>3.5000000000000001E-3</v>
      </c>
      <c r="G76">
        <v>0.13681699999999999</v>
      </c>
      <c r="H76">
        <f t="shared" si="0"/>
        <v>11.10387641915554</v>
      </c>
      <c r="I76">
        <f t="shared" si="1"/>
        <v>0</v>
      </c>
      <c r="J76">
        <f t="shared" si="2"/>
        <v>-11.770570984027536</v>
      </c>
      <c r="K76">
        <f t="shared" si="3"/>
        <v>0.32894972847994419</v>
      </c>
      <c r="L76">
        <f t="shared" si="5"/>
        <v>2198.383199381557</v>
      </c>
      <c r="M76">
        <f t="shared" si="4"/>
        <v>-9700.8474383337871</v>
      </c>
    </row>
    <row r="77" spans="1:22" x14ac:dyDescent="0.25">
      <c r="A77" t="s">
        <v>43</v>
      </c>
      <c r="B77">
        <v>-15</v>
      </c>
      <c r="C77">
        <v>1</v>
      </c>
      <c r="E77">
        <v>1785</v>
      </c>
      <c r="F77">
        <v>3.5000000000000001E-3</v>
      </c>
      <c r="G77">
        <v>0.13373599999999999</v>
      </c>
      <c r="H77">
        <f t="shared" si="0"/>
        <v>10.342079236748759</v>
      </c>
      <c r="I77">
        <f t="shared" si="1"/>
        <v>0</v>
      </c>
      <c r="J77">
        <f t="shared" si="2"/>
        <v>-6.934740193348742</v>
      </c>
      <c r="K77">
        <f t="shared" si="3"/>
        <v>-0.20155463165218196</v>
      </c>
      <c r="L77">
        <f t="shared" si="5"/>
        <v>-1316.6638527453842</v>
      </c>
      <c r="M77">
        <f t="shared" si="4"/>
        <v>5765.4797202528844</v>
      </c>
    </row>
    <row r="78" spans="1:22" x14ac:dyDescent="0.25">
      <c r="A78" t="s">
        <v>44</v>
      </c>
      <c r="B78">
        <v>43</v>
      </c>
      <c r="C78">
        <v>0</v>
      </c>
      <c r="E78">
        <v>1785</v>
      </c>
      <c r="F78">
        <v>3.5000000000000001E-3</v>
      </c>
      <c r="G78">
        <v>0.13373599999999999</v>
      </c>
      <c r="H78">
        <f t="shared" si="0"/>
        <v>13.385966439809067</v>
      </c>
      <c r="I78">
        <f t="shared" si="1"/>
        <v>0</v>
      </c>
      <c r="J78">
        <f t="shared" si="2"/>
        <v>-23.120411445733602</v>
      </c>
      <c r="K78">
        <f t="shared" si="3"/>
        <v>0.57778994406958828</v>
      </c>
      <c r="L78">
        <f t="shared" si="5"/>
        <v>3774.4363778701013</v>
      </c>
      <c r="M78">
        <f t="shared" si="4"/>
        <v>-16259.08049636754</v>
      </c>
    </row>
    <row r="79" spans="1:22" x14ac:dyDescent="0.25">
      <c r="A79" t="s">
        <v>45</v>
      </c>
      <c r="B79">
        <v>-19</v>
      </c>
      <c r="C79">
        <v>1</v>
      </c>
      <c r="E79">
        <v>1790</v>
      </c>
      <c r="F79">
        <v>3.5000000000000001E-3</v>
      </c>
      <c r="G79">
        <v>0.13090299999999999</v>
      </c>
      <c r="H79">
        <f t="shared" si="0"/>
        <v>7.988228155917227</v>
      </c>
      <c r="I79">
        <f t="shared" si="1"/>
        <v>0</v>
      </c>
      <c r="J79">
        <f t="shared" si="2"/>
        <v>-7.4832720145251352</v>
      </c>
      <c r="K79">
        <f t="shared" si="3"/>
        <v>-0.25266857886009891</v>
      </c>
      <c r="L79">
        <f t="shared" si="5"/>
        <v>-1615.602952384017</v>
      </c>
      <c r="M79">
        <f t="shared" si="4"/>
        <v>6919.4746650465004</v>
      </c>
    </row>
    <row r="80" spans="1:22" x14ac:dyDescent="0.25">
      <c r="A80" t="s">
        <v>46</v>
      </c>
      <c r="B80">
        <v>-31</v>
      </c>
      <c r="C80">
        <v>0</v>
      </c>
      <c r="E80">
        <v>1790</v>
      </c>
      <c r="F80">
        <v>3.5000000000000001E-3</v>
      </c>
      <c r="G80">
        <v>0.13090299999999999</v>
      </c>
      <c r="H80">
        <f t="shared" si="0"/>
        <v>16.031846135456362</v>
      </c>
      <c r="I80">
        <f t="shared" si="1"/>
        <v>0</v>
      </c>
      <c r="J80">
        <f t="shared" si="2"/>
        <v>18.790450923669518</v>
      </c>
      <c r="K80">
        <f t="shared" si="3"/>
        <v>-0.41224873392963507</v>
      </c>
      <c r="L80">
        <f t="shared" si="5"/>
        <v>-2635.983764416028</v>
      </c>
      <c r="M80">
        <f t="shared" si="4"/>
        <v>11095.464647788247</v>
      </c>
    </row>
    <row r="81" spans="1:13" x14ac:dyDescent="0.25">
      <c r="A81" t="s">
        <v>47</v>
      </c>
      <c r="B81">
        <v>32</v>
      </c>
      <c r="C81">
        <v>1</v>
      </c>
      <c r="E81">
        <v>1795</v>
      </c>
      <c r="F81">
        <v>3.5000000000000001E-3</v>
      </c>
      <c r="G81">
        <v>0.128355</v>
      </c>
      <c r="H81">
        <f t="shared" si="0"/>
        <v>6.0083037715970704</v>
      </c>
      <c r="I81">
        <f t="shared" si="1"/>
        <v>0</v>
      </c>
      <c r="J81">
        <f t="shared" si="2"/>
        <v>10.441579270998886</v>
      </c>
      <c r="K81">
        <f t="shared" si="3"/>
        <v>0.40665652530953661</v>
      </c>
      <c r="L81">
        <f t="shared" si="5"/>
        <v>2549.6134252730485</v>
      </c>
      <c r="M81">
        <f t="shared" si="4"/>
        <v>-10700.254097546927</v>
      </c>
    </row>
    <row r="82" spans="1:13" x14ac:dyDescent="0.25">
      <c r="A82" t="s">
        <v>48</v>
      </c>
      <c r="B82">
        <v>44</v>
      </c>
      <c r="C82">
        <v>0</v>
      </c>
      <c r="E82">
        <v>1795</v>
      </c>
      <c r="F82">
        <v>3.5000000000000001E-3</v>
      </c>
      <c r="G82">
        <v>0.128355</v>
      </c>
      <c r="H82">
        <f t="shared" si="0"/>
        <v>19.051652527615715</v>
      </c>
      <c r="I82">
        <f t="shared" si="1"/>
        <v>0</v>
      </c>
      <c r="J82">
        <f t="shared" si="2"/>
        <v>-29.642828502376531</v>
      </c>
      <c r="K82">
        <f t="shared" si="3"/>
        <v>0.55915272230061286</v>
      </c>
      <c r="L82">
        <f t="shared" si="5"/>
        <v>3505.7184597504415</v>
      </c>
      <c r="M82">
        <f t="shared" si="4"/>
        <v>-14436.434268418598</v>
      </c>
    </row>
    <row r="83" spans="1:13" x14ac:dyDescent="0.25">
      <c r="A83" t="s">
        <v>49</v>
      </c>
      <c r="B83">
        <v>-11</v>
      </c>
      <c r="C83">
        <v>1</v>
      </c>
      <c r="E83">
        <v>1800</v>
      </c>
      <c r="F83">
        <v>3.5000000000000001E-3</v>
      </c>
      <c r="G83">
        <v>0.126059</v>
      </c>
      <c r="H83">
        <f t="shared" si="0"/>
        <v>4.3914046819710393</v>
      </c>
      <c r="I83">
        <f t="shared" si="1"/>
        <v>0</v>
      </c>
      <c r="J83">
        <f t="shared" si="2"/>
        <v>-2.8843179631520175</v>
      </c>
      <c r="K83">
        <f t="shared" si="3"/>
        <v>-0.1286252649865661</v>
      </c>
      <c r="L83">
        <f t="shared" si="5"/>
        <v>-792.01597402035293</v>
      </c>
      <c r="M83">
        <f t="shared" si="4"/>
        <v>3262.6431129836506</v>
      </c>
    </row>
    <row r="84" spans="1:13" x14ac:dyDescent="0.25">
      <c r="A84" t="s">
        <v>50</v>
      </c>
      <c r="B84">
        <v>-17</v>
      </c>
      <c r="C84">
        <v>0</v>
      </c>
      <c r="E84">
        <v>1800</v>
      </c>
      <c r="F84">
        <v>3.5000000000000001E-3</v>
      </c>
      <c r="G84">
        <v>0.126059</v>
      </c>
      <c r="H84">
        <f t="shared" si="0"/>
        <v>22.434484214468739</v>
      </c>
      <c r="I84">
        <f t="shared" si="1"/>
        <v>0</v>
      </c>
      <c r="J84">
        <f t="shared" si="2"/>
        <v>12.542417693310519</v>
      </c>
      <c r="K84">
        <f t="shared" si="3"/>
        <v>-0.19878450043378398</v>
      </c>
      <c r="L84">
        <f t="shared" si="5"/>
        <v>-1224.0246871223635</v>
      </c>
      <c r="M84">
        <f t="shared" si="4"/>
        <v>4935.1723959243682</v>
      </c>
    </row>
    <row r="85" spans="1:13" x14ac:dyDescent="0.25">
      <c r="A85" t="s">
        <v>51</v>
      </c>
      <c r="B85">
        <v>-21</v>
      </c>
      <c r="C85">
        <v>1</v>
      </c>
      <c r="E85">
        <v>1805</v>
      </c>
      <c r="F85">
        <v>3.5000000000000001E-3</v>
      </c>
      <c r="G85">
        <v>0.123977</v>
      </c>
      <c r="H85">
        <f t="shared" si="0"/>
        <v>3.112085942541114</v>
      </c>
      <c r="I85">
        <f t="shared" si="1"/>
        <v>0</v>
      </c>
      <c r="J85">
        <f t="shared" si="2"/>
        <v>-4.2812294254493555</v>
      </c>
      <c r="K85">
        <f t="shared" si="3"/>
        <v>-0.21704027667644121</v>
      </c>
      <c r="L85">
        <f t="shared" si="5"/>
        <v>-1314.3627979244166</v>
      </c>
      <c r="M85">
        <f t="shared" si="4"/>
        <v>5322.370781251283</v>
      </c>
    </row>
    <row r="86" spans="1:13" x14ac:dyDescent="0.25">
      <c r="A86" t="s">
        <v>52</v>
      </c>
      <c r="B86">
        <v>2</v>
      </c>
      <c r="C86">
        <v>0</v>
      </c>
      <c r="E86">
        <v>1805</v>
      </c>
      <c r="F86">
        <v>3.5000000000000001E-3</v>
      </c>
      <c r="G86">
        <v>0.123977</v>
      </c>
      <c r="H86">
        <f t="shared" si="0"/>
        <v>26.154896251517812</v>
      </c>
      <c r="I86">
        <f t="shared" si="1"/>
        <v>0</v>
      </c>
      <c r="J86">
        <f t="shared" si="2"/>
        <v>-1.5922638642429185</v>
      </c>
      <c r="K86">
        <f t="shared" si="3"/>
        <v>2.067050254061345E-2</v>
      </c>
      <c r="L86">
        <f t="shared" si="5"/>
        <v>125.17740932613491</v>
      </c>
      <c r="M86">
        <f t="shared" si="4"/>
        <v>-494.25813568510222</v>
      </c>
    </row>
    <row r="87" spans="1:13" x14ac:dyDescent="0.25">
      <c r="A87" t="s">
        <v>53</v>
      </c>
      <c r="B87">
        <v>-33</v>
      </c>
      <c r="C87">
        <v>1</v>
      </c>
      <c r="E87">
        <v>1810</v>
      </c>
      <c r="F87">
        <v>3.5000000000000001E-3</v>
      </c>
      <c r="G87">
        <v>0.122173</v>
      </c>
      <c r="H87">
        <f t="shared" si="0"/>
        <v>2.1387807970533004</v>
      </c>
      <c r="I87">
        <f t="shared" si="1"/>
        <v>0</v>
      </c>
      <c r="J87">
        <f t="shared" si="2"/>
        <v>-5.0550120049181819</v>
      </c>
      <c r="K87">
        <f t="shared" si="3"/>
        <v>-0.28895757477041706</v>
      </c>
      <c r="L87">
        <f t="shared" si="5"/>
        <v>-1724.4202835937738</v>
      </c>
      <c r="M87">
        <f t="shared" si="4"/>
        <v>6878.3005812305528</v>
      </c>
    </row>
    <row r="88" spans="1:13" x14ac:dyDescent="0.25">
      <c r="A88" t="s">
        <v>54</v>
      </c>
      <c r="B88">
        <v>18</v>
      </c>
      <c r="C88">
        <v>0</v>
      </c>
      <c r="E88">
        <v>1810</v>
      </c>
      <c r="F88">
        <v>3.5000000000000001E-3</v>
      </c>
      <c r="G88">
        <v>0.122173</v>
      </c>
      <c r="H88">
        <f t="shared" si="0"/>
        <v>30.18132188250911</v>
      </c>
      <c r="I88">
        <f t="shared" si="1"/>
        <v>0</v>
      </c>
      <c r="J88">
        <f t="shared" si="2"/>
        <v>-15.242720724590082</v>
      </c>
      <c r="K88">
        <f t="shared" si="3"/>
        <v>0.15761322260204566</v>
      </c>
      <c r="L88">
        <f t="shared" si="5"/>
        <v>940.59288196024033</v>
      </c>
      <c r="M88">
        <f t="shared" si="4"/>
        <v>-3637.7764569464634</v>
      </c>
    </row>
    <row r="89" spans="1:13" x14ac:dyDescent="0.25">
      <c r="A89" t="s">
        <v>55</v>
      </c>
      <c r="B89">
        <v>24</v>
      </c>
      <c r="C89">
        <v>1</v>
      </c>
      <c r="E89">
        <v>1815</v>
      </c>
      <c r="F89">
        <v>3.5000000000000001E-3</v>
      </c>
      <c r="G89">
        <v>0.12083199999999999</v>
      </c>
      <c r="H89">
        <f t="shared" si="0"/>
        <v>1.4332824996376985</v>
      </c>
      <c r="I89">
        <f t="shared" si="1"/>
        <v>0</v>
      </c>
      <c r="J89">
        <f t="shared" si="2"/>
        <v>2.6765773260412447</v>
      </c>
      <c r="K89">
        <f t="shared" si="3"/>
        <v>0.17066103945456779</v>
      </c>
      <c r="L89">
        <f t="shared" si="5"/>
        <v>1007.2798614755668</v>
      </c>
      <c r="M89">
        <f t="shared" si="4"/>
        <v>-3972.2004127386699</v>
      </c>
    </row>
    <row r="90" spans="1:13" x14ac:dyDescent="0.25">
      <c r="A90" t="s">
        <v>56</v>
      </c>
      <c r="B90">
        <v>4</v>
      </c>
      <c r="C90">
        <v>0</v>
      </c>
      <c r="E90">
        <v>1815</v>
      </c>
      <c r="F90">
        <v>3.5000000000000001E-3</v>
      </c>
      <c r="G90">
        <v>0.12083199999999999</v>
      </c>
      <c r="H90">
        <f t="shared" si="0"/>
        <v>34.475554361572676</v>
      </c>
      <c r="I90">
        <f t="shared" si="1"/>
        <v>0</v>
      </c>
      <c r="J90">
        <f t="shared" si="2"/>
        <v>-3.553903778993126</v>
      </c>
      <c r="K90">
        <f t="shared" si="3"/>
        <v>2.84435065757613E-2</v>
      </c>
      <c r="L90">
        <f t="shared" si="5"/>
        <v>167.87997691259446</v>
      </c>
      <c r="M90">
        <f t="shared" si="4"/>
        <v>-636.62477031704452</v>
      </c>
    </row>
    <row r="91" spans="1:13" x14ac:dyDescent="0.25">
      <c r="A91" t="s">
        <v>57</v>
      </c>
      <c r="B91">
        <v>23</v>
      </c>
      <c r="C91">
        <v>1</v>
      </c>
      <c r="E91">
        <v>1820</v>
      </c>
      <c r="F91">
        <v>3.5000000000000001E-3</v>
      </c>
      <c r="G91">
        <v>0.120145</v>
      </c>
      <c r="H91">
        <f t="shared" si="0"/>
        <v>0.94652129055594969</v>
      </c>
      <c r="I91">
        <f t="shared" si="1"/>
        <v>0</v>
      </c>
      <c r="J91">
        <f t="shared" si="2"/>
        <v>1.8227918322451095</v>
      </c>
      <c r="K91">
        <f t="shared" si="3"/>
        <v>0.12785864814884113</v>
      </c>
      <c r="L91">
        <f t="shared" si="5"/>
        <v>750.35988961280054</v>
      </c>
      <c r="M91">
        <f t="shared" si="4"/>
        <v>-2941.2313049955474</v>
      </c>
    </row>
    <row r="92" spans="1:13" x14ac:dyDescent="0.25">
      <c r="A92" t="s">
        <v>58</v>
      </c>
      <c r="B92">
        <v>-4</v>
      </c>
      <c r="C92">
        <v>0</v>
      </c>
      <c r="E92">
        <v>1820</v>
      </c>
      <c r="F92">
        <v>3.5000000000000001E-3</v>
      </c>
      <c r="G92">
        <v>0.120145</v>
      </c>
      <c r="H92">
        <f t="shared" si="0"/>
        <v>38.988523928970153</v>
      </c>
      <c r="I92">
        <f t="shared" si="1"/>
        <v>0</v>
      </c>
      <c r="J92">
        <f t="shared" si="2"/>
        <v>3.6829927248269376</v>
      </c>
      <c r="K92">
        <f t="shared" si="3"/>
        <v>-2.2236286634581066E-2</v>
      </c>
      <c r="L92">
        <f t="shared" si="5"/>
        <v>-130.49737210657401</v>
      </c>
      <c r="M92">
        <f t="shared" si="4"/>
        <v>486.03985978837483</v>
      </c>
    </row>
    <row r="93" spans="1:13" x14ac:dyDescent="0.25">
      <c r="A93" t="s">
        <v>59</v>
      </c>
      <c r="B93">
        <v>-35</v>
      </c>
      <c r="C93">
        <v>1</v>
      </c>
      <c r="E93">
        <v>1825</v>
      </c>
      <c r="F93">
        <v>3.5000000000000001E-3</v>
      </c>
      <c r="G93">
        <v>0.120115</v>
      </c>
      <c r="H93">
        <f t="shared" si="0"/>
        <v>0.62135173991298132</v>
      </c>
      <c r="I93">
        <f t="shared" si="1"/>
        <v>0</v>
      </c>
      <c r="J93">
        <f t="shared" si="2"/>
        <v>-1.9389361945565684</v>
      </c>
      <c r="K93">
        <f t="shared" si="3"/>
        <v>-0.14750149248988123</v>
      </c>
      <c r="L93">
        <f t="shared" si="5"/>
        <v>-865.42106316270804</v>
      </c>
      <c r="M93">
        <f t="shared" si="4"/>
        <v>3390.392736936707</v>
      </c>
    </row>
    <row r="94" spans="1:13" x14ac:dyDescent="0.25">
      <c r="A94" t="s">
        <v>60</v>
      </c>
      <c r="B94">
        <v>-3</v>
      </c>
      <c r="C94">
        <v>1</v>
      </c>
      <c r="E94">
        <v>1830</v>
      </c>
      <c r="F94">
        <v>3.5000000000000001E-3</v>
      </c>
      <c r="G94">
        <v>0.120668</v>
      </c>
      <c r="H94">
        <f t="shared" si="0"/>
        <v>0.40817109468862611</v>
      </c>
      <c r="I94">
        <f t="shared" si="1"/>
        <v>0</v>
      </c>
      <c r="J94">
        <f t="shared" si="2"/>
        <v>-0.11507867560545179</v>
      </c>
      <c r="K94">
        <f t="shared" si="3"/>
        <v>-9.3688155258942266E-3</v>
      </c>
      <c r="L94">
        <f t="shared" si="5"/>
        <v>-55.221805638448203</v>
      </c>
      <c r="M94">
        <f t="shared" si="4"/>
        <v>217.27731090506461</v>
      </c>
    </row>
    <row r="95" spans="1:13" x14ac:dyDescent="0.25">
      <c r="A95" t="s">
        <v>61</v>
      </c>
      <c r="B95">
        <v>33</v>
      </c>
      <c r="C95">
        <v>1</v>
      </c>
      <c r="E95">
        <v>1835</v>
      </c>
      <c r="F95">
        <v>3.5000000000000001E-3</v>
      </c>
      <c r="G95">
        <v>0.12187000000000001</v>
      </c>
      <c r="H95">
        <f t="shared" si="0"/>
        <v>0.2717822084677195</v>
      </c>
      <c r="I95">
        <f t="shared" si="1"/>
        <v>0</v>
      </c>
      <c r="J95">
        <f t="shared" si="2"/>
        <v>0.87850783717702385</v>
      </c>
      <c r="K95">
        <f t="shared" si="3"/>
        <v>7.5472316798196562E-2</v>
      </c>
      <c r="L95">
        <f t="shared" si="5"/>
        <v>449.28124933067272</v>
      </c>
      <c r="M95">
        <f t="shared" si="4"/>
        <v>-1784.9493723842506</v>
      </c>
    </row>
    <row r="96" spans="1:13" x14ac:dyDescent="0.25">
      <c r="A96" t="s">
        <v>62</v>
      </c>
      <c r="B96">
        <v>-23</v>
      </c>
      <c r="C96">
        <v>1</v>
      </c>
      <c r="E96">
        <v>1840</v>
      </c>
      <c r="F96">
        <v>3.5000000000000001E-3</v>
      </c>
      <c r="G96">
        <v>0.123789</v>
      </c>
      <c r="H96">
        <f t="shared" si="0"/>
        <v>0.18605172203221088</v>
      </c>
      <c r="I96">
        <f t="shared" si="1"/>
        <v>0</v>
      </c>
      <c r="J96">
        <f t="shared" si="2"/>
        <v>-0.43157895442539135</v>
      </c>
      <c r="K96">
        <f t="shared" si="3"/>
        <v>-3.8557012458148403E-2</v>
      </c>
      <c r="L96">
        <f t="shared" si="5"/>
        <v>-233.14130932337301</v>
      </c>
      <c r="M96">
        <f t="shared" si="4"/>
        <v>940.63727934594795</v>
      </c>
    </row>
    <row r="97" spans="1:13" x14ac:dyDescent="0.25">
      <c r="A97" t="s">
        <v>63</v>
      </c>
      <c r="B97">
        <v>-48</v>
      </c>
      <c r="C97">
        <v>1</v>
      </c>
      <c r="E97">
        <v>1845</v>
      </c>
      <c r="F97">
        <v>3.5000000000000001E-3</v>
      </c>
      <c r="G97">
        <v>0.12648899999999999</v>
      </c>
      <c r="H97">
        <f t="shared" si="0"/>
        <v>0.13279281978433488</v>
      </c>
      <c r="I97">
        <f t="shared" si="1"/>
        <v>0</v>
      </c>
      <c r="J97">
        <f t="shared" si="2"/>
        <v>-0.65351939996242081</v>
      </c>
      <c r="K97">
        <f t="shared" si="3"/>
        <v>-5.9818397909155385E-2</v>
      </c>
      <c r="L97">
        <f t="shared" si="5"/>
        <v>-369.59095758277471</v>
      </c>
      <c r="M97">
        <f t="shared" si="4"/>
        <v>1523.4020666741822</v>
      </c>
    </row>
    <row r="98" spans="1:13" x14ac:dyDescent="0.25">
      <c r="A98" t="s">
        <v>64</v>
      </c>
      <c r="B98">
        <v>-3</v>
      </c>
      <c r="C98">
        <v>1</v>
      </c>
      <c r="E98">
        <v>1850</v>
      </c>
      <c r="F98">
        <v>3.5000000000000001E-3</v>
      </c>
      <c r="G98">
        <v>0.13004099999999999</v>
      </c>
      <c r="H98">
        <f t="shared" si="0"/>
        <v>0.10012574387556938</v>
      </c>
      <c r="I98">
        <f t="shared" si="1"/>
        <v>0</v>
      </c>
      <c r="J98">
        <f t="shared" si="2"/>
        <v>-3.089944185709733E-2</v>
      </c>
      <c r="K98">
        <f t="shared" si="3"/>
        <v>-2.8546226206086689E-3</v>
      </c>
      <c r="L98">
        <f t="shared" si="5"/>
        <v>-18.132713688153267</v>
      </c>
      <c r="M98">
        <f t="shared" si="4"/>
        <v>76.826530531262534</v>
      </c>
    </row>
    <row r="99" spans="1:13" x14ac:dyDescent="0.25">
      <c r="A99" t="s">
        <v>65</v>
      </c>
      <c r="B99">
        <v>0</v>
      </c>
      <c r="C99">
        <v>1</v>
      </c>
      <c r="E99">
        <v>1860</v>
      </c>
      <c r="F99">
        <v>3.5000000000000001E-3</v>
      </c>
      <c r="G99">
        <v>0.14034099999999999</v>
      </c>
      <c r="H99">
        <f t="shared" si="0"/>
        <v>7.1292325956042291E-2</v>
      </c>
      <c r="I99">
        <f t="shared" si="1"/>
        <v>0</v>
      </c>
      <c r="J99">
        <f t="shared" si="2"/>
        <v>0</v>
      </c>
      <c r="K99">
        <f t="shared" si="3"/>
        <v>0</v>
      </c>
      <c r="L99">
        <f t="shared" si="5"/>
        <v>0</v>
      </c>
      <c r="M99">
        <f t="shared" si="4"/>
        <v>0</v>
      </c>
    </row>
    <row r="100" spans="1:13" x14ac:dyDescent="0.25">
      <c r="A100" t="s">
        <v>66</v>
      </c>
      <c r="B100">
        <v>0</v>
      </c>
      <c r="C100">
        <v>1</v>
      </c>
      <c r="E100">
        <v>1865</v>
      </c>
      <c r="F100">
        <v>3.5000000000000001E-3</v>
      </c>
      <c r="G100">
        <v>0.147481</v>
      </c>
      <c r="H100">
        <f t="shared" si="0"/>
        <v>6.8922431519236937E-2</v>
      </c>
      <c r="I100">
        <f t="shared" si="1"/>
        <v>0</v>
      </c>
      <c r="J100">
        <f t="shared" si="2"/>
        <v>0</v>
      </c>
      <c r="K100">
        <f t="shared" si="3"/>
        <v>0</v>
      </c>
      <c r="L100">
        <f t="shared" si="5"/>
        <v>0</v>
      </c>
      <c r="M100">
        <f t="shared" si="4"/>
        <v>0</v>
      </c>
    </row>
    <row r="101" spans="1:13" x14ac:dyDescent="0.25">
      <c r="A101" t="s">
        <v>67</v>
      </c>
      <c r="B101">
        <v>0</v>
      </c>
      <c r="C101">
        <v>1</v>
      </c>
      <c r="E101">
        <v>1870</v>
      </c>
      <c r="F101">
        <v>3.5000000000000001E-3</v>
      </c>
      <c r="G101">
        <v>0.15620200000000001</v>
      </c>
      <c r="H101">
        <f>BSTV(($D$36*(1+H$4)),$E101,$A$7,($G101+$C$9),($A$10/260),$C101)</f>
        <v>7.3283400713322067E-2</v>
      </c>
      <c r="I101">
        <f t="shared" ref="I101" si="6">PnL(($D$36*(1+H$4)),$E101,$A$7,($G101+$C$9),($A$10/260),$C101,$B101,$H101)</f>
        <v>0</v>
      </c>
      <c r="J101">
        <f>Delta1($D$36,$E101,$A$7,$G101,($A$10/260),$C101,$B101)</f>
        <v>0</v>
      </c>
      <c r="K101">
        <f>Gamma($D$36,$E101,$A$7,$G101,($A$10/260),$B101)</f>
        <v>0</v>
      </c>
      <c r="L101">
        <f t="shared" si="5"/>
        <v>0</v>
      </c>
      <c r="M101">
        <f>Theta($D$36,$E101,$A$7,$G101,($A$10/260),$C101,$B101)</f>
        <v>0</v>
      </c>
    </row>
    <row r="102" spans="1:13" x14ac:dyDescent="0.25">
      <c r="A102" t="s">
        <v>68</v>
      </c>
      <c r="B102">
        <v>-2</v>
      </c>
      <c r="C102">
        <v>0</v>
      </c>
      <c r="D102" s="1">
        <f>$D$36+(D34-D35)</f>
        <v>1775.63</v>
      </c>
      <c r="E102">
        <v>1710</v>
      </c>
      <c r="F102">
        <v>3.5000000000000001E-3</v>
      </c>
      <c r="G102">
        <v>0.16261800000000001</v>
      </c>
      <c r="H102">
        <f>BSTV((($D$36*(1+H$4))-($D$35-$D$34)),$E102,$A$7,($G102+$C$9),($A$12/260),$C102)</f>
        <v>10.926072707246419</v>
      </c>
      <c r="I102">
        <f>PnL((($D$36*(1+H$4))-($D$35-$D$34)),$E102,$A$7,($G102+$C$9),($A$12/260),$C102,$B102,$H102)</f>
        <v>0</v>
      </c>
      <c r="J102">
        <f t="shared" ref="J102:J128" si="7">Delta1((($D$36*(1+H$4))-($D$35-$D$34)),$E102,$A$7,$G102,($A$12/260),$C102,$B102)</f>
        <v>0.42747306894476006</v>
      </c>
      <c r="K102">
        <f t="shared" ref="K102:K128" si="8">Gamma((($D$36*(1+H$4))-($D$35-$D$34)),$E102,$A$7,$G102,($A$12/260),$B102)</f>
        <v>-6.6384541361833565E-3</v>
      </c>
      <c r="L102">
        <f>Vega((($D$36*(1+H$4))-($D$35-$D$34)),$E102,$A$7,$G102,($A$12/260),$B102)</f>
        <v>-314.17991391056086</v>
      </c>
      <c r="M102">
        <f t="shared" ref="M102:M128" si="9">Theta((($D$36*(1+H$4))-($D$35-$D$34)),$E102,$A$7,$G102,($A$12/260),$C102,$B102)</f>
        <v>274.01149019044561</v>
      </c>
    </row>
    <row r="103" spans="1:13" x14ac:dyDescent="0.25">
      <c r="A103" t="s">
        <v>69</v>
      </c>
      <c r="B103">
        <v>-16</v>
      </c>
      <c r="C103">
        <v>0</v>
      </c>
      <c r="E103">
        <v>1720</v>
      </c>
      <c r="F103">
        <v>3.5000000000000001E-3</v>
      </c>
      <c r="G103">
        <v>0.15757199999999999</v>
      </c>
      <c r="H103">
        <f t="shared" ref="H103:H128" si="10">BSTV((($D$36*(1+H$4))-($D$35-$D$34)),$E103,$A$7,($G103+$C$9),($A$12/260),$C103)</f>
        <v>12.534463560145753</v>
      </c>
      <c r="I103">
        <f t="shared" ref="I103:I128" si="11">PnL((($D$36*(1+H$4))-($D$35-$D$34)),$E103,$A$7,($G103+$C$9),($A$12/260),$C103,$B103,$H103)</f>
        <v>0</v>
      </c>
      <c r="J103">
        <f t="shared" si="7"/>
        <v>3.893539184705495</v>
      </c>
      <c r="K103">
        <f t="shared" si="8"/>
        <v>-5.8954524336527099E-2</v>
      </c>
      <c r="L103">
        <f t="shared" ref="L103:L128" si="12">Vega((($D$36*(1+H$4))-($D$35-$D$34)),$E103,$A$7,$G103,($A$12/260),$B103)</f>
        <v>-2703.5787784053014</v>
      </c>
      <c r="M103">
        <f t="shared" si="9"/>
        <v>2282.6459136523467</v>
      </c>
    </row>
    <row r="104" spans="1:13" x14ac:dyDescent="0.25">
      <c r="A104" t="s">
        <v>70</v>
      </c>
      <c r="B104">
        <v>-1</v>
      </c>
      <c r="C104">
        <v>0</v>
      </c>
      <c r="E104">
        <v>1725</v>
      </c>
      <c r="F104">
        <v>3.5000000000000001E-3</v>
      </c>
      <c r="G104">
        <v>0.15509000000000001</v>
      </c>
      <c r="H104">
        <f t="shared" si="10"/>
        <v>13.441300273143668</v>
      </c>
      <c r="I104">
        <f t="shared" si="11"/>
        <v>0</v>
      </c>
      <c r="J104">
        <f t="shared" si="7"/>
        <v>0.25967524255599439</v>
      </c>
      <c r="K104">
        <f t="shared" si="8"/>
        <v>-3.8743514271579599E-3</v>
      </c>
      <c r="L104">
        <f t="shared" si="12"/>
        <v>-174.87416307521474</v>
      </c>
      <c r="M104">
        <f t="shared" si="9"/>
        <v>145.24583432381988</v>
      </c>
    </row>
    <row r="105" spans="1:13" x14ac:dyDescent="0.25">
      <c r="A105" t="s">
        <v>71</v>
      </c>
      <c r="B105">
        <v>-1</v>
      </c>
      <c r="C105">
        <v>0</v>
      </c>
      <c r="E105">
        <v>1730</v>
      </c>
      <c r="F105">
        <v>3.5000000000000001E-3</v>
      </c>
      <c r="G105">
        <v>0.15262999999999999</v>
      </c>
      <c r="H105">
        <f t="shared" si="10"/>
        <v>14.423033389808211</v>
      </c>
      <c r="I105">
        <f t="shared" si="11"/>
        <v>0</v>
      </c>
      <c r="J105">
        <f t="shared" si="7"/>
        <v>0.27707160173132572</v>
      </c>
      <c r="K105">
        <f t="shared" si="8"/>
        <v>-4.067323743707202E-3</v>
      </c>
      <c r="L105">
        <f t="shared" si="12"/>
        <v>-180.6722645100368</v>
      </c>
      <c r="M105">
        <f t="shared" si="9"/>
        <v>147.59764299706876</v>
      </c>
    </row>
    <row r="106" spans="1:13" x14ac:dyDescent="0.25">
      <c r="A106" t="s">
        <v>72</v>
      </c>
      <c r="B106">
        <v>10</v>
      </c>
      <c r="C106">
        <v>0</v>
      </c>
      <c r="E106">
        <v>1740</v>
      </c>
      <c r="F106">
        <v>3.5000000000000001E-3</v>
      </c>
      <c r="G106">
        <v>0.147757</v>
      </c>
      <c r="H106">
        <f t="shared" si="10"/>
        <v>16.631397043648235</v>
      </c>
      <c r="I106">
        <f t="shared" si="11"/>
        <v>0</v>
      </c>
      <c r="J106">
        <f t="shared" si="7"/>
        <v>-3.1519544179327075</v>
      </c>
      <c r="K106">
        <f t="shared" si="8"/>
        <v>4.4577350095788643E-2</v>
      </c>
      <c r="L106">
        <f t="shared" si="12"/>
        <v>1916.9251473746403</v>
      </c>
      <c r="M106">
        <f t="shared" si="9"/>
        <v>-1514.0412746426787</v>
      </c>
    </row>
    <row r="107" spans="1:13" x14ac:dyDescent="0.25">
      <c r="A107" t="s">
        <v>73</v>
      </c>
      <c r="B107">
        <v>-4</v>
      </c>
      <c r="C107">
        <v>0</v>
      </c>
      <c r="E107">
        <v>1745</v>
      </c>
      <c r="F107">
        <v>3.5000000000000001E-3</v>
      </c>
      <c r="G107">
        <v>0.14533599999999999</v>
      </c>
      <c r="H107">
        <f t="shared" si="10"/>
        <v>17.868942464300517</v>
      </c>
      <c r="I107">
        <f t="shared" si="11"/>
        <v>0</v>
      </c>
      <c r="J107">
        <f t="shared" si="7"/>
        <v>1.3439096504741137</v>
      </c>
      <c r="K107">
        <f t="shared" si="8"/>
        <v>-1.8607401141300949E-2</v>
      </c>
      <c r="L107">
        <f t="shared" si="12"/>
        <v>-787.04898874276</v>
      </c>
      <c r="M107">
        <f t="shared" si="9"/>
        <v>610.99165518237112</v>
      </c>
    </row>
    <row r="108" spans="1:13" x14ac:dyDescent="0.25">
      <c r="A108" t="s">
        <v>74</v>
      </c>
      <c r="B108">
        <v>1</v>
      </c>
      <c r="C108">
        <v>0</v>
      </c>
      <c r="E108">
        <v>1750</v>
      </c>
      <c r="F108">
        <v>3.5000000000000001E-3</v>
      </c>
      <c r="G108">
        <v>0.14291999999999999</v>
      </c>
      <c r="H108">
        <f t="shared" si="10"/>
        <v>19.203028460250152</v>
      </c>
      <c r="I108">
        <f t="shared" si="11"/>
        <v>0</v>
      </c>
      <c r="J108">
        <f t="shared" si="7"/>
        <v>-0.35793212386819884</v>
      </c>
      <c r="K108">
        <f t="shared" si="8"/>
        <v>4.8425689963754225E-3</v>
      </c>
      <c r="L108">
        <f t="shared" si="12"/>
        <v>201.42420883966059</v>
      </c>
      <c r="M108">
        <f t="shared" si="9"/>
        <v>-153.64089811374802</v>
      </c>
    </row>
    <row r="109" spans="1:13" x14ac:dyDescent="0.25">
      <c r="A109" t="s">
        <v>75</v>
      </c>
      <c r="B109">
        <v>1</v>
      </c>
      <c r="C109">
        <v>0</v>
      </c>
      <c r="E109">
        <v>1760</v>
      </c>
      <c r="F109">
        <v>3.5000000000000001E-3</v>
      </c>
      <c r="G109">
        <v>0.13811100000000001</v>
      </c>
      <c r="H109">
        <f t="shared" si="10"/>
        <v>22.189908433995356</v>
      </c>
      <c r="I109">
        <f t="shared" si="11"/>
        <v>0</v>
      </c>
      <c r="J109">
        <f t="shared" si="7"/>
        <v>-0.40540297833164662</v>
      </c>
      <c r="K109">
        <f t="shared" si="8"/>
        <v>5.2031526310833296E-3</v>
      </c>
      <c r="L109">
        <f t="shared" si="12"/>
        <v>209.14027627005402</v>
      </c>
      <c r="M109">
        <f t="shared" si="9"/>
        <v>-153.86097750700114</v>
      </c>
    </row>
    <row r="110" spans="1:13" x14ac:dyDescent="0.25">
      <c r="A110" t="s">
        <v>76</v>
      </c>
      <c r="B110">
        <v>-8</v>
      </c>
      <c r="C110">
        <v>0</v>
      </c>
      <c r="E110">
        <v>1765</v>
      </c>
      <c r="F110">
        <v>3.5000000000000001E-3</v>
      </c>
      <c r="G110">
        <v>0.13573299999999999</v>
      </c>
      <c r="H110">
        <f t="shared" si="10"/>
        <v>23.860173438401262</v>
      </c>
      <c r="I110">
        <f t="shared" si="11"/>
        <v>0</v>
      </c>
      <c r="J110">
        <f t="shared" si="7"/>
        <v>3.4472739708082845</v>
      </c>
      <c r="K110">
        <f t="shared" si="8"/>
        <v>-4.2930338900092707E-2</v>
      </c>
      <c r="L110">
        <f t="shared" si="12"/>
        <v>-1695.8701918872091</v>
      </c>
      <c r="M110">
        <f t="shared" si="9"/>
        <v>1224.7465134528661</v>
      </c>
    </row>
    <row r="111" spans="1:13" x14ac:dyDescent="0.25">
      <c r="A111" t="s">
        <v>77</v>
      </c>
      <c r="B111">
        <v>-2</v>
      </c>
      <c r="C111">
        <v>0</v>
      </c>
      <c r="E111">
        <v>1770</v>
      </c>
      <c r="F111">
        <v>3.5000000000000001E-3</v>
      </c>
      <c r="G111">
        <v>0.133381</v>
      </c>
      <c r="H111">
        <f t="shared" si="10"/>
        <v>25.659934383354539</v>
      </c>
      <c r="I111">
        <f t="shared" si="11"/>
        <v>0</v>
      </c>
      <c r="J111">
        <f t="shared" si="7"/>
        <v>0.91510524180303976</v>
      </c>
      <c r="K111">
        <f t="shared" si="8"/>
        <v>-1.1025722123351039E-2</v>
      </c>
      <c r="L111">
        <f t="shared" si="12"/>
        <v>-428.00008357629054</v>
      </c>
      <c r="M111">
        <f t="shared" si="9"/>
        <v>303.35495005312345</v>
      </c>
    </row>
    <row r="112" spans="1:13" x14ac:dyDescent="0.25">
      <c r="A112" t="s">
        <v>78</v>
      </c>
      <c r="B112">
        <v>12</v>
      </c>
      <c r="C112">
        <v>1</v>
      </c>
      <c r="E112">
        <v>1775</v>
      </c>
      <c r="F112">
        <v>3.5000000000000001E-3</v>
      </c>
      <c r="G112">
        <v>0.13106200000000001</v>
      </c>
      <c r="H112">
        <f t="shared" si="10"/>
        <v>28.801438894416037</v>
      </c>
      <c r="I112">
        <f t="shared" si="11"/>
        <v>0</v>
      </c>
      <c r="J112">
        <f t="shared" si="7"/>
        <v>6.1767797922824252</v>
      </c>
      <c r="K112">
        <f t="shared" si="8"/>
        <v>6.7662317132708857E-2</v>
      </c>
      <c r="L112">
        <f t="shared" si="12"/>
        <v>2580.8721967936644</v>
      </c>
      <c r="M112">
        <f t="shared" si="9"/>
        <v>-1869.387843046359</v>
      </c>
    </row>
    <row r="113" spans="1:13" x14ac:dyDescent="0.25">
      <c r="A113" t="s">
        <v>79</v>
      </c>
      <c r="B113">
        <v>1</v>
      </c>
      <c r="C113">
        <v>1</v>
      </c>
      <c r="E113">
        <v>1780</v>
      </c>
      <c r="F113">
        <v>3.5000000000000001E-3</v>
      </c>
      <c r="G113">
        <v>0.12878300000000001</v>
      </c>
      <c r="H113">
        <f t="shared" si="10"/>
        <v>25.888233653907264</v>
      </c>
      <c r="I113">
        <f t="shared" si="11"/>
        <v>0</v>
      </c>
      <c r="J113">
        <f t="shared" si="7"/>
        <v>0.48603899875251627</v>
      </c>
      <c r="K113">
        <f t="shared" si="8"/>
        <v>5.7387072240468922E-3</v>
      </c>
      <c r="L113">
        <f t="shared" si="12"/>
        <v>215.08763687586864</v>
      </c>
      <c r="M113">
        <f t="shared" si="9"/>
        <v>-152.96964885178892</v>
      </c>
    </row>
    <row r="114" spans="1:13" x14ac:dyDescent="0.25">
      <c r="A114" t="s">
        <v>80</v>
      </c>
      <c r="B114">
        <v>3</v>
      </c>
      <c r="C114">
        <v>0</v>
      </c>
      <c r="E114">
        <v>1780</v>
      </c>
      <c r="F114">
        <v>3.5000000000000001E-3</v>
      </c>
      <c r="G114">
        <v>0.12878300000000001</v>
      </c>
      <c r="H114">
        <f t="shared" si="10"/>
        <v>29.683249617868</v>
      </c>
      <c r="I114">
        <f t="shared" si="11"/>
        <v>0</v>
      </c>
      <c r="J114">
        <f t="shared" si="7"/>
        <v>-1.5418830037424514</v>
      </c>
      <c r="K114">
        <f t="shared" si="8"/>
        <v>1.7216121672140677E-2</v>
      </c>
      <c r="L114">
        <f t="shared" si="12"/>
        <v>645.26291062760595</v>
      </c>
      <c r="M114">
        <f t="shared" si="9"/>
        <v>-440.22498388774522</v>
      </c>
    </row>
    <row r="115" spans="1:13" x14ac:dyDescent="0.25">
      <c r="A115" t="s">
        <v>81</v>
      </c>
      <c r="B115">
        <v>-1</v>
      </c>
      <c r="C115">
        <v>1</v>
      </c>
      <c r="E115">
        <v>1785</v>
      </c>
      <c r="F115">
        <v>3.5000000000000001E-3</v>
      </c>
      <c r="G115">
        <v>0.126551</v>
      </c>
      <c r="H115">
        <f t="shared" si="10"/>
        <v>23.130305490367846</v>
      </c>
      <c r="I115">
        <f t="shared" si="11"/>
        <v>0</v>
      </c>
      <c r="J115">
        <f t="shared" si="7"/>
        <v>-0.45649859964926853</v>
      </c>
      <c r="K115">
        <f t="shared" si="8"/>
        <v>-5.8087257202376341E-3</v>
      </c>
      <c r="L115">
        <f t="shared" si="12"/>
        <v>-213.93867080390663</v>
      </c>
      <c r="M115">
        <f t="shared" si="9"/>
        <v>149.40770867542011</v>
      </c>
    </row>
    <row r="116" spans="1:13" x14ac:dyDescent="0.25">
      <c r="A116" t="s">
        <v>82</v>
      </c>
      <c r="B116">
        <v>-1</v>
      </c>
      <c r="C116">
        <v>1</v>
      </c>
      <c r="E116">
        <v>1790</v>
      </c>
      <c r="F116">
        <v>3.5000000000000001E-3</v>
      </c>
      <c r="G116">
        <v>0.124372</v>
      </c>
      <c r="H116">
        <f t="shared" si="10"/>
        <v>20.534981417683071</v>
      </c>
      <c r="I116">
        <f t="shared" si="11"/>
        <v>0</v>
      </c>
      <c r="J116">
        <f t="shared" si="7"/>
        <v>-0.42627468743248464</v>
      </c>
      <c r="K116">
        <f t="shared" si="8"/>
        <v>-5.8440560533025987E-3</v>
      </c>
      <c r="L116">
        <f t="shared" si="12"/>
        <v>-211.53383000188668</v>
      </c>
      <c r="M116">
        <f t="shared" si="9"/>
        <v>145.08376214845254</v>
      </c>
    </row>
    <row r="117" spans="1:13" x14ac:dyDescent="0.25">
      <c r="A117" t="s">
        <v>83</v>
      </c>
      <c r="B117">
        <v>12</v>
      </c>
      <c r="C117">
        <v>0</v>
      </c>
      <c r="E117">
        <v>1790</v>
      </c>
      <c r="F117">
        <v>3.5000000000000001E-3</v>
      </c>
      <c r="G117">
        <v>0.124372</v>
      </c>
      <c r="H117">
        <f t="shared" si="10"/>
        <v>34.326767134250304</v>
      </c>
      <c r="I117">
        <f t="shared" si="11"/>
        <v>0</v>
      </c>
      <c r="J117">
        <f t="shared" si="7"/>
        <v>-6.8847037508101838</v>
      </c>
      <c r="K117">
        <f t="shared" si="8"/>
        <v>7.0128672639631184E-2</v>
      </c>
      <c r="L117">
        <f t="shared" si="12"/>
        <v>2538.4059600226401</v>
      </c>
      <c r="M117">
        <f t="shared" si="9"/>
        <v>-1665.8494307813344</v>
      </c>
    </row>
    <row r="118" spans="1:13" x14ac:dyDescent="0.25">
      <c r="A118" t="s">
        <v>84</v>
      </c>
      <c r="B118">
        <v>1</v>
      </c>
      <c r="C118">
        <v>1</v>
      </c>
      <c r="E118">
        <v>1795</v>
      </c>
      <c r="F118">
        <v>3.5000000000000001E-3</v>
      </c>
      <c r="G118">
        <v>0.122254</v>
      </c>
      <c r="H118">
        <f t="shared" si="10"/>
        <v>18.109042306036713</v>
      </c>
      <c r="I118">
        <f t="shared" si="11"/>
        <v>0</v>
      </c>
      <c r="J118">
        <f t="shared" si="7"/>
        <v>0.39556872702478391</v>
      </c>
      <c r="K118">
        <f t="shared" si="8"/>
        <v>5.8404393380544562E-3</v>
      </c>
      <c r="L118">
        <f t="shared" si="12"/>
        <v>207.80281997264069</v>
      </c>
      <c r="M118">
        <f t="shared" si="9"/>
        <v>-140.00389354267915</v>
      </c>
    </row>
    <row r="119" spans="1:13" x14ac:dyDescent="0.25">
      <c r="A119" t="s">
        <v>85</v>
      </c>
      <c r="B119">
        <v>-12</v>
      </c>
      <c r="C119">
        <v>0</v>
      </c>
      <c r="E119">
        <v>1795</v>
      </c>
      <c r="F119">
        <v>3.5000000000000001E-3</v>
      </c>
      <c r="G119">
        <v>0.122254</v>
      </c>
      <c r="H119">
        <f t="shared" si="10"/>
        <v>36.899212898907308</v>
      </c>
      <c r="I119">
        <f t="shared" si="11"/>
        <v>0</v>
      </c>
      <c r="J119">
        <f t="shared" si="7"/>
        <v>7.2531752757025938</v>
      </c>
      <c r="K119">
        <f t="shared" si="8"/>
        <v>-7.0085272056653478E-2</v>
      </c>
      <c r="L119">
        <f t="shared" si="12"/>
        <v>-2493.6338396716883</v>
      </c>
      <c r="M119">
        <f t="shared" si="9"/>
        <v>1604.6810753472494</v>
      </c>
    </row>
    <row r="120" spans="1:13" x14ac:dyDescent="0.25">
      <c r="A120" t="s">
        <v>86</v>
      </c>
      <c r="B120">
        <v>9</v>
      </c>
      <c r="C120">
        <v>1</v>
      </c>
      <c r="E120">
        <v>1800</v>
      </c>
      <c r="F120">
        <v>3.5000000000000001E-3</v>
      </c>
      <c r="G120">
        <v>0.12020599999999999</v>
      </c>
      <c r="H120">
        <f t="shared" si="10"/>
        <v>15.858187978502656</v>
      </c>
      <c r="I120">
        <f t="shared" si="11"/>
        <v>0</v>
      </c>
      <c r="J120">
        <f t="shared" si="7"/>
        <v>3.2815734397373268</v>
      </c>
      <c r="K120">
        <f t="shared" si="8"/>
        <v>5.21480623171812E-2</v>
      </c>
      <c r="L120">
        <f t="shared" si="12"/>
        <v>1824.3458088746168</v>
      </c>
      <c r="M120">
        <f t="shared" si="9"/>
        <v>-1207.75491957605</v>
      </c>
    </row>
    <row r="121" spans="1:13" x14ac:dyDescent="0.25">
      <c r="A121" t="s">
        <v>87</v>
      </c>
      <c r="B121">
        <v>-4</v>
      </c>
      <c r="C121">
        <v>1</v>
      </c>
      <c r="E121">
        <v>1810</v>
      </c>
      <c r="F121">
        <v>3.5000000000000001E-3</v>
      </c>
      <c r="G121">
        <v>0.116352</v>
      </c>
      <c r="H121">
        <f t="shared" si="10"/>
        <v>11.895407635774177</v>
      </c>
      <c r="I121">
        <f t="shared" si="11"/>
        <v>0</v>
      </c>
      <c r="J121">
        <f t="shared" si="7"/>
        <v>-1.2123839819587905</v>
      </c>
      <c r="K121">
        <f t="shared" si="8"/>
        <v>-2.2259544787464662E-2</v>
      </c>
      <c r="L121">
        <f t="shared" si="12"/>
        <v>-753.75980281565353</v>
      </c>
      <c r="M121">
        <f t="shared" si="9"/>
        <v>482.41765121423578</v>
      </c>
    </row>
    <row r="122" spans="1:13" x14ac:dyDescent="0.25">
      <c r="A122" t="s">
        <v>88</v>
      </c>
      <c r="B122">
        <v>-20</v>
      </c>
      <c r="C122">
        <v>1</v>
      </c>
      <c r="E122">
        <v>1815</v>
      </c>
      <c r="F122">
        <v>3.5000000000000001E-3</v>
      </c>
      <c r="G122">
        <v>0.114563</v>
      </c>
      <c r="H122">
        <f t="shared" si="10"/>
        <v>10.185564092744187</v>
      </c>
      <c r="I122">
        <f t="shared" si="11"/>
        <v>0</v>
      </c>
      <c r="J122">
        <f t="shared" si="7"/>
        <v>-5.4626247513152215</v>
      </c>
      <c r="K122">
        <f t="shared" si="8"/>
        <v>-0.10761445415863942</v>
      </c>
      <c r="L122">
        <f t="shared" si="12"/>
        <v>-3588.044549866886</v>
      </c>
      <c r="M122">
        <f t="shared" si="9"/>
        <v>2259.7951622699634</v>
      </c>
    </row>
    <row r="123" spans="1:13" x14ac:dyDescent="0.25">
      <c r="A123" t="s">
        <v>89</v>
      </c>
      <c r="B123">
        <v>4</v>
      </c>
      <c r="C123">
        <v>1</v>
      </c>
      <c r="E123">
        <v>1820</v>
      </c>
      <c r="F123">
        <v>3.5000000000000001E-3</v>
      </c>
      <c r="G123">
        <v>0.11287800000000001</v>
      </c>
      <c r="H123">
        <f t="shared" si="10"/>
        <v>8.6545343317181391</v>
      </c>
      <c r="I123">
        <f t="shared" si="11"/>
        <v>0</v>
      </c>
      <c r="J123">
        <f t="shared" si="7"/>
        <v>0.97648103039456347</v>
      </c>
      <c r="K123">
        <f t="shared" si="8"/>
        <v>2.0609690629593995E-2</v>
      </c>
      <c r="L123">
        <f t="shared" si="12"/>
        <v>677.05448650070048</v>
      </c>
      <c r="M123">
        <f t="shared" si="9"/>
        <v>-419.91372483382872</v>
      </c>
    </row>
    <row r="124" spans="1:13" x14ac:dyDescent="0.25">
      <c r="A124" t="s">
        <v>90</v>
      </c>
      <c r="B124">
        <v>11</v>
      </c>
      <c r="C124">
        <v>1</v>
      </c>
      <c r="E124">
        <v>1830</v>
      </c>
      <c r="F124">
        <v>3.5000000000000001E-3</v>
      </c>
      <c r="G124">
        <v>0.10985</v>
      </c>
      <c r="H124">
        <f t="shared" si="10"/>
        <v>6.1071702005526731</v>
      </c>
      <c r="I124">
        <f t="shared" si="11"/>
        <v>0</v>
      </c>
      <c r="J124">
        <f t="shared" si="7"/>
        <v>2.0916975375942854</v>
      </c>
      <c r="K124">
        <f t="shared" si="8"/>
        <v>5.0395548066481527E-2</v>
      </c>
      <c r="L124">
        <f t="shared" si="12"/>
        <v>1611.1466611801297</v>
      </c>
      <c r="M124">
        <f t="shared" si="9"/>
        <v>-971.42998605027196</v>
      </c>
    </row>
    <row r="125" spans="1:13" x14ac:dyDescent="0.25">
      <c r="A125" t="s">
        <v>91</v>
      </c>
      <c r="B125">
        <v>-1</v>
      </c>
      <c r="C125">
        <v>1</v>
      </c>
      <c r="E125">
        <v>1835</v>
      </c>
      <c r="F125">
        <v>3.5000000000000001E-3</v>
      </c>
      <c r="G125">
        <v>0.10852299999999999</v>
      </c>
      <c r="H125">
        <f t="shared" si="10"/>
        <v>5.074595975488478</v>
      </c>
      <c r="I125">
        <f t="shared" si="11"/>
        <v>0</v>
      </c>
      <c r="J125">
        <f t="shared" si="7"/>
        <v>-0.16572072746921962</v>
      </c>
      <c r="K125">
        <f t="shared" si="8"/>
        <v>-4.2519784120509376E-3</v>
      </c>
      <c r="L125">
        <f t="shared" si="12"/>
        <v>-134.29371360291239</v>
      </c>
      <c r="M125">
        <f t="shared" si="9"/>
        <v>79.954409704890381</v>
      </c>
    </row>
    <row r="126" spans="1:13" x14ac:dyDescent="0.25">
      <c r="A126" t="s">
        <v>92</v>
      </c>
      <c r="B126">
        <v>5</v>
      </c>
      <c r="C126">
        <v>1</v>
      </c>
      <c r="E126">
        <v>1850</v>
      </c>
      <c r="F126">
        <v>3.5000000000000001E-3</v>
      </c>
      <c r="G126">
        <v>0.10538400000000001</v>
      </c>
      <c r="H126">
        <f t="shared" si="10"/>
        <v>2.8061473980683331</v>
      </c>
      <c r="I126">
        <f t="shared" si="11"/>
        <v>0</v>
      </c>
      <c r="J126">
        <f t="shared" si="7"/>
        <v>0.52335228057516359</v>
      </c>
      <c r="K126">
        <f t="shared" si="8"/>
        <v>1.5955653271159009E-2</v>
      </c>
      <c r="L126">
        <f t="shared" si="12"/>
        <v>489.36410520259648</v>
      </c>
      <c r="M126">
        <f t="shared" si="9"/>
        <v>-282.54708462818382</v>
      </c>
    </row>
    <row r="127" spans="1:13" x14ac:dyDescent="0.25">
      <c r="A127" t="s">
        <v>93</v>
      </c>
      <c r="B127">
        <v>2</v>
      </c>
      <c r="C127">
        <v>1</v>
      </c>
      <c r="E127">
        <v>1855</v>
      </c>
      <c r="F127">
        <v>3.5000000000000001E-3</v>
      </c>
      <c r="G127">
        <v>0.104643</v>
      </c>
      <c r="H127">
        <f t="shared" si="10"/>
        <v>2.2822295572244968</v>
      </c>
      <c r="I127">
        <f t="shared" si="11"/>
        <v>0</v>
      </c>
      <c r="J127">
        <f t="shared" si="7"/>
        <v>0.1772115626660476</v>
      </c>
      <c r="K127">
        <f t="shared" si="8"/>
        <v>5.6867595457513109E-3</v>
      </c>
      <c r="L127">
        <f t="shared" si="12"/>
        <v>173.18803668118923</v>
      </c>
      <c r="M127">
        <f t="shared" si="9"/>
        <v>-99.251135474152051</v>
      </c>
    </row>
    <row r="128" spans="1:13" x14ac:dyDescent="0.25">
      <c r="A128" t="s">
        <v>94</v>
      </c>
      <c r="B128">
        <v>1</v>
      </c>
      <c r="C128">
        <v>1</v>
      </c>
      <c r="E128">
        <v>1860</v>
      </c>
      <c r="F128">
        <v>3.5000000000000001E-3</v>
      </c>
      <c r="G128">
        <v>0.10406799999999999</v>
      </c>
      <c r="H128">
        <f t="shared" si="10"/>
        <v>1.8515933259951396</v>
      </c>
      <c r="I128">
        <f t="shared" si="11"/>
        <v>0</v>
      </c>
      <c r="J128">
        <f t="shared" si="7"/>
        <v>7.462920708426786E-2</v>
      </c>
      <c r="K128">
        <f t="shared" si="8"/>
        <v>2.5118614360544159E-3</v>
      </c>
      <c r="L128">
        <f t="shared" si="12"/>
        <v>76.077411655512037</v>
      </c>
      <c r="M128">
        <f t="shared" si="9"/>
        <v>-43.342281675669874</v>
      </c>
    </row>
    <row r="129" spans="9:13" x14ac:dyDescent="0.25">
      <c r="I129">
        <f>SUM(I34:I128)</f>
        <v>0</v>
      </c>
      <c r="J129" s="1">
        <f>SUM(J34:J128)</f>
        <v>-0.29919549311155025</v>
      </c>
      <c r="K129">
        <f>SUM(K36:K128)</f>
        <v>-6.8764109703082776E-3</v>
      </c>
      <c r="L129">
        <f>SUM(L36:L128)</f>
        <v>-399.66840337845349</v>
      </c>
      <c r="M129">
        <f>SUM(M36:M128)</f>
        <v>1837.355486101616</v>
      </c>
    </row>
  </sheetData>
  <mergeCells count="7">
    <mergeCell ref="N34:N35"/>
    <mergeCell ref="J34:J35"/>
    <mergeCell ref="A1:P1"/>
    <mergeCell ref="D3:L3"/>
    <mergeCell ref="B5:B13"/>
    <mergeCell ref="A31:P31"/>
    <mergeCell ref="N32:Q3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M100"/>
  <sheetViews>
    <sheetView topLeftCell="K73" workbookViewId="0">
      <selection activeCell="K73" sqref="K73:CM99"/>
    </sheetView>
  </sheetViews>
  <sheetFormatPr defaultRowHeight="15" x14ac:dyDescent="0.25"/>
  <cols>
    <col min="1" max="1" width="17.42578125" customWidth="1"/>
    <col min="2" max="2" width="16.5703125" customWidth="1"/>
    <col min="3" max="3" width="16.7109375" customWidth="1"/>
    <col min="4" max="4" width="19.5703125" customWidth="1"/>
    <col min="5" max="5" width="13.5703125" customWidth="1"/>
    <col min="6" max="6" width="17.42578125" customWidth="1"/>
    <col min="7" max="7" width="19.85546875" customWidth="1"/>
    <col min="10" max="10" width="16.140625" customWidth="1"/>
    <col min="11" max="11" width="12.5703125" customWidth="1"/>
    <col min="74" max="74" width="11.42578125" customWidth="1"/>
    <col min="75" max="75" width="14" customWidth="1"/>
    <col min="76" max="76" width="15.42578125" customWidth="1"/>
    <col min="77" max="77" width="14.5703125" customWidth="1"/>
    <col min="78" max="78" width="14.42578125" customWidth="1"/>
    <col min="79" max="79" width="12.85546875" customWidth="1"/>
    <col min="80" max="80" width="12.140625" customWidth="1"/>
    <col min="81" max="81" width="14.85546875" customWidth="1"/>
    <col min="82" max="82" width="13.85546875" customWidth="1"/>
    <col min="83" max="83" width="14.42578125" customWidth="1"/>
    <col min="84" max="84" width="12.5703125" customWidth="1"/>
    <col min="85" max="85" width="12.7109375" customWidth="1"/>
    <col min="86" max="86" width="11.7109375" customWidth="1"/>
    <col min="87" max="87" width="12.28515625" customWidth="1"/>
    <col min="88" max="88" width="11.7109375" customWidth="1"/>
    <col min="89" max="89" width="16.7109375" customWidth="1"/>
    <col min="90" max="90" width="12.85546875" customWidth="1"/>
    <col min="91" max="91" width="13.42578125" customWidth="1"/>
  </cols>
  <sheetData>
    <row r="1" spans="1:91" x14ac:dyDescent="0.25">
      <c r="A1" s="2"/>
      <c r="B1" s="2"/>
      <c r="C1" s="2"/>
      <c r="D1" s="2"/>
      <c r="E1" s="2"/>
      <c r="F1" s="2"/>
      <c r="G1" s="2"/>
      <c r="J1" t="s">
        <v>115</v>
      </c>
    </row>
    <row r="2" spans="1:91" x14ac:dyDescent="0.25">
      <c r="J2" t="s">
        <v>105</v>
      </c>
      <c r="K2">
        <f>RiskSlide!$D$4</f>
        <v>-0.1</v>
      </c>
      <c r="L2">
        <f>RiskSlide!$D$4</f>
        <v>-0.1</v>
      </c>
      <c r="M2">
        <f>RiskSlide!$D$4</f>
        <v>-0.1</v>
      </c>
      <c r="N2">
        <f>RiskSlide!$D$4</f>
        <v>-0.1</v>
      </c>
      <c r="O2">
        <f>RiskSlide!$D$4</f>
        <v>-0.1</v>
      </c>
      <c r="P2">
        <f>RiskSlide!$D$4</f>
        <v>-0.1</v>
      </c>
      <c r="Q2">
        <f>RiskSlide!$D$4</f>
        <v>-0.1</v>
      </c>
      <c r="R2">
        <f>RiskSlide!$D$4</f>
        <v>-0.1</v>
      </c>
      <c r="S2">
        <f>RiskSlide!$D$4</f>
        <v>-0.1</v>
      </c>
      <c r="T2">
        <f>RiskSlide!$E$4</f>
        <v>-0.05</v>
      </c>
      <c r="U2">
        <f>RiskSlide!$E$4</f>
        <v>-0.05</v>
      </c>
      <c r="V2">
        <f>RiskSlide!$E$4</f>
        <v>-0.05</v>
      </c>
      <c r="W2">
        <f>RiskSlide!$E$4</f>
        <v>-0.05</v>
      </c>
      <c r="X2">
        <f>RiskSlide!$E$4</f>
        <v>-0.05</v>
      </c>
      <c r="Y2">
        <f>RiskSlide!$E$4</f>
        <v>-0.05</v>
      </c>
      <c r="Z2">
        <f>RiskSlide!$E$4</f>
        <v>-0.05</v>
      </c>
      <c r="AA2">
        <f>RiskSlide!$E$4</f>
        <v>-0.05</v>
      </c>
      <c r="AB2">
        <f>RiskSlide!$E$4</f>
        <v>-0.05</v>
      </c>
      <c r="AC2">
        <f>RiskSlide!$F$4</f>
        <v>-0.01</v>
      </c>
      <c r="AD2">
        <f>RiskSlide!$F$4</f>
        <v>-0.01</v>
      </c>
      <c r="AE2">
        <f>RiskSlide!$F$4</f>
        <v>-0.01</v>
      </c>
      <c r="AF2">
        <f>RiskSlide!$F$4</f>
        <v>-0.01</v>
      </c>
      <c r="AG2">
        <f>RiskSlide!$F$4</f>
        <v>-0.01</v>
      </c>
      <c r="AH2">
        <f>RiskSlide!$F$4</f>
        <v>-0.01</v>
      </c>
      <c r="AI2">
        <f>RiskSlide!$F$4</f>
        <v>-0.01</v>
      </c>
      <c r="AJ2">
        <f>RiskSlide!$F$4</f>
        <v>-0.01</v>
      </c>
      <c r="AK2">
        <f>RiskSlide!$F$4</f>
        <v>-0.01</v>
      </c>
      <c r="AL2">
        <f>RiskSlide!$G$4</f>
        <v>-5.0000000000000001E-3</v>
      </c>
      <c r="AM2">
        <f>RiskSlide!$G$4</f>
        <v>-5.0000000000000001E-3</v>
      </c>
      <c r="AN2">
        <f>RiskSlide!$G$4</f>
        <v>-5.0000000000000001E-3</v>
      </c>
      <c r="AO2">
        <f>RiskSlide!$G$4</f>
        <v>-5.0000000000000001E-3</v>
      </c>
      <c r="AP2">
        <f>RiskSlide!$G$4</f>
        <v>-5.0000000000000001E-3</v>
      </c>
      <c r="AQ2">
        <f>RiskSlide!$G$4</f>
        <v>-5.0000000000000001E-3</v>
      </c>
      <c r="AR2">
        <f>RiskSlide!$G$4</f>
        <v>-5.0000000000000001E-3</v>
      </c>
      <c r="AS2">
        <f>RiskSlide!$G$4</f>
        <v>-5.0000000000000001E-3</v>
      </c>
      <c r="AT2">
        <f>RiskSlide!$G$4</f>
        <v>-5.0000000000000001E-3</v>
      </c>
      <c r="AU2">
        <f>RiskSlide!$H$4</f>
        <v>0</v>
      </c>
      <c r="AV2">
        <f>RiskSlide!$H$4</f>
        <v>0</v>
      </c>
      <c r="AW2">
        <f>RiskSlide!$H$4</f>
        <v>0</v>
      </c>
      <c r="AX2">
        <f>RiskSlide!$H$4</f>
        <v>0</v>
      </c>
      <c r="AY2">
        <f>RiskSlide!$H$4</f>
        <v>0</v>
      </c>
      <c r="AZ2">
        <f>RiskSlide!$H$4</f>
        <v>0</v>
      </c>
      <c r="BA2">
        <f>RiskSlide!$H$4</f>
        <v>0</v>
      </c>
      <c r="BB2">
        <f>RiskSlide!$H$4</f>
        <v>0</v>
      </c>
      <c r="BC2">
        <f>RiskSlide!$H$4</f>
        <v>0</v>
      </c>
      <c r="BD2">
        <f>RiskSlide!$I$4</f>
        <v>5.0000000000000001E-3</v>
      </c>
      <c r="BE2">
        <f>RiskSlide!$I$4</f>
        <v>5.0000000000000001E-3</v>
      </c>
      <c r="BF2">
        <f>RiskSlide!$I$4</f>
        <v>5.0000000000000001E-3</v>
      </c>
      <c r="BG2">
        <f>RiskSlide!$I$4</f>
        <v>5.0000000000000001E-3</v>
      </c>
      <c r="BH2">
        <f>RiskSlide!$I$4</f>
        <v>5.0000000000000001E-3</v>
      </c>
      <c r="BI2">
        <f>RiskSlide!$I$4</f>
        <v>5.0000000000000001E-3</v>
      </c>
      <c r="BJ2">
        <f>RiskSlide!$I$4</f>
        <v>5.0000000000000001E-3</v>
      </c>
      <c r="BK2">
        <f>RiskSlide!$I$4</f>
        <v>5.0000000000000001E-3</v>
      </c>
      <c r="BL2">
        <f>RiskSlide!$I$4</f>
        <v>5.0000000000000001E-3</v>
      </c>
      <c r="BM2">
        <f>RiskSlide!$J$4</f>
        <v>0.01</v>
      </c>
      <c r="BN2">
        <f>RiskSlide!$J$4</f>
        <v>0.01</v>
      </c>
      <c r="BO2">
        <f>RiskSlide!$J$4</f>
        <v>0.01</v>
      </c>
      <c r="BP2">
        <f>RiskSlide!$J$4</f>
        <v>0.01</v>
      </c>
      <c r="BQ2">
        <f>RiskSlide!$J$4</f>
        <v>0.01</v>
      </c>
      <c r="BR2">
        <f>RiskSlide!$J$4</f>
        <v>0.01</v>
      </c>
      <c r="BS2">
        <f>RiskSlide!$J$4</f>
        <v>0.01</v>
      </c>
      <c r="BT2">
        <f>RiskSlide!$J$4</f>
        <v>0.01</v>
      </c>
      <c r="BU2">
        <f>RiskSlide!$J$4</f>
        <v>0.01</v>
      </c>
      <c r="BV2">
        <f>RiskSlide!$K$4</f>
        <v>0.05</v>
      </c>
      <c r="BW2">
        <f>RiskSlide!$K$4</f>
        <v>0.05</v>
      </c>
      <c r="BX2">
        <f>RiskSlide!$K$4</f>
        <v>0.05</v>
      </c>
      <c r="BY2">
        <f>RiskSlide!$K$4</f>
        <v>0.05</v>
      </c>
      <c r="BZ2">
        <f>RiskSlide!$K$4</f>
        <v>0.05</v>
      </c>
      <c r="CA2">
        <f>RiskSlide!$K$4</f>
        <v>0.05</v>
      </c>
      <c r="CB2">
        <f>RiskSlide!$K$4</f>
        <v>0.05</v>
      </c>
      <c r="CC2">
        <f>RiskSlide!$K$4</f>
        <v>0.05</v>
      </c>
      <c r="CD2">
        <f>RiskSlide!$K$4</f>
        <v>0.05</v>
      </c>
      <c r="CE2">
        <f>RiskSlide!$L$4</f>
        <v>0.1</v>
      </c>
      <c r="CF2">
        <f>RiskSlide!$L$4</f>
        <v>0.1</v>
      </c>
      <c r="CG2">
        <f>RiskSlide!$L$4</f>
        <v>0.1</v>
      </c>
      <c r="CH2">
        <f>RiskSlide!$L$4</f>
        <v>0.1</v>
      </c>
      <c r="CI2">
        <f>RiskSlide!$L$4</f>
        <v>0.1</v>
      </c>
      <c r="CJ2">
        <f>RiskSlide!$L$4</f>
        <v>0.1</v>
      </c>
      <c r="CK2">
        <f>RiskSlide!$L$4</f>
        <v>0.1</v>
      </c>
      <c r="CL2">
        <f>RiskSlide!$L$4</f>
        <v>0.1</v>
      </c>
      <c r="CM2">
        <f>RiskSlide!$L$4</f>
        <v>0.1</v>
      </c>
    </row>
    <row r="3" spans="1:91" x14ac:dyDescent="0.25">
      <c r="J3" t="s">
        <v>120</v>
      </c>
      <c r="K3">
        <f>RiskSlide!$C$5</f>
        <v>0.1</v>
      </c>
      <c r="L3">
        <f>RiskSlide!$C$6</f>
        <v>0.05</v>
      </c>
      <c r="M3">
        <f>RiskSlide!$C$7</f>
        <v>0.01</v>
      </c>
      <c r="N3">
        <f>RiskSlide!$C$8</f>
        <v>5.0000000000000001E-3</v>
      </c>
      <c r="O3">
        <f>RiskSlide!$C$9</f>
        <v>0</v>
      </c>
      <c r="P3">
        <f>RiskSlide!$C$10</f>
        <v>-5.0000000000000001E-3</v>
      </c>
      <c r="Q3">
        <f>RiskSlide!$C$11</f>
        <v>-0.01</v>
      </c>
      <c r="R3">
        <f>RiskSlide!$C$12</f>
        <v>-0.05</v>
      </c>
      <c r="S3">
        <f>RiskSlide!$C$13</f>
        <v>-0.1</v>
      </c>
      <c r="T3">
        <f>RiskSlide!$C$5</f>
        <v>0.1</v>
      </c>
      <c r="U3">
        <f>RiskSlide!$C$6</f>
        <v>0.05</v>
      </c>
      <c r="V3">
        <f>RiskSlide!$C$7</f>
        <v>0.01</v>
      </c>
      <c r="W3">
        <f>RiskSlide!$C$8</f>
        <v>5.0000000000000001E-3</v>
      </c>
      <c r="X3">
        <f>RiskSlide!$C$9</f>
        <v>0</v>
      </c>
      <c r="Y3">
        <f>RiskSlide!$C$10</f>
        <v>-5.0000000000000001E-3</v>
      </c>
      <c r="Z3">
        <f>RiskSlide!$C$11</f>
        <v>-0.01</v>
      </c>
      <c r="AA3">
        <f>RiskSlide!$C$12</f>
        <v>-0.05</v>
      </c>
      <c r="AB3">
        <f>RiskSlide!$C$13</f>
        <v>-0.1</v>
      </c>
      <c r="AC3">
        <f>RiskSlide!$C$5</f>
        <v>0.1</v>
      </c>
      <c r="AD3">
        <f>RiskSlide!$C$6</f>
        <v>0.05</v>
      </c>
      <c r="AE3">
        <f>RiskSlide!$C$7</f>
        <v>0.01</v>
      </c>
      <c r="AF3">
        <f>RiskSlide!$C$8</f>
        <v>5.0000000000000001E-3</v>
      </c>
      <c r="AG3">
        <f>RiskSlide!$C$9</f>
        <v>0</v>
      </c>
      <c r="AH3">
        <f>RiskSlide!$C$10</f>
        <v>-5.0000000000000001E-3</v>
      </c>
      <c r="AI3">
        <f>RiskSlide!$C$11</f>
        <v>-0.01</v>
      </c>
      <c r="AJ3">
        <f>RiskSlide!$C$12</f>
        <v>-0.05</v>
      </c>
      <c r="AK3">
        <f>RiskSlide!$C$13</f>
        <v>-0.1</v>
      </c>
      <c r="AL3">
        <f>RiskSlide!$C$5</f>
        <v>0.1</v>
      </c>
      <c r="AM3">
        <f>RiskSlide!$C$6</f>
        <v>0.05</v>
      </c>
      <c r="AN3">
        <f>RiskSlide!$C$7</f>
        <v>0.01</v>
      </c>
      <c r="AO3">
        <f>RiskSlide!$C$8</f>
        <v>5.0000000000000001E-3</v>
      </c>
      <c r="AP3">
        <f>RiskSlide!$C$9</f>
        <v>0</v>
      </c>
      <c r="AQ3">
        <f>RiskSlide!$C$10</f>
        <v>-5.0000000000000001E-3</v>
      </c>
      <c r="AR3">
        <f>RiskSlide!$C$11</f>
        <v>-0.01</v>
      </c>
      <c r="AS3">
        <f>RiskSlide!$C$12</f>
        <v>-0.05</v>
      </c>
      <c r="AT3">
        <f>RiskSlide!$C$13</f>
        <v>-0.1</v>
      </c>
      <c r="AU3">
        <f>RiskSlide!$C$5</f>
        <v>0.1</v>
      </c>
      <c r="AV3">
        <f>RiskSlide!$C$6</f>
        <v>0.05</v>
      </c>
      <c r="AW3">
        <f>RiskSlide!$C$7</f>
        <v>0.01</v>
      </c>
      <c r="AX3">
        <f>RiskSlide!$C$8</f>
        <v>5.0000000000000001E-3</v>
      </c>
      <c r="AY3">
        <f>RiskSlide!$C$9</f>
        <v>0</v>
      </c>
      <c r="AZ3">
        <f>RiskSlide!$C$10</f>
        <v>-5.0000000000000001E-3</v>
      </c>
      <c r="BA3">
        <f>RiskSlide!$C$11</f>
        <v>-0.01</v>
      </c>
      <c r="BB3">
        <f>RiskSlide!$C$12</f>
        <v>-0.05</v>
      </c>
      <c r="BC3">
        <f>RiskSlide!$C$13</f>
        <v>-0.1</v>
      </c>
      <c r="BD3">
        <f>RiskSlide!$C$5</f>
        <v>0.1</v>
      </c>
      <c r="BE3">
        <f>RiskSlide!$C$6</f>
        <v>0.05</v>
      </c>
      <c r="BF3">
        <f>RiskSlide!$C$7</f>
        <v>0.01</v>
      </c>
      <c r="BG3">
        <f>RiskSlide!$C$8</f>
        <v>5.0000000000000001E-3</v>
      </c>
      <c r="BH3">
        <f>RiskSlide!$C$9</f>
        <v>0</v>
      </c>
      <c r="BI3">
        <f>RiskSlide!$C$10</f>
        <v>-5.0000000000000001E-3</v>
      </c>
      <c r="BJ3">
        <f>RiskSlide!$C$11</f>
        <v>-0.01</v>
      </c>
      <c r="BK3">
        <f>RiskSlide!$C$12</f>
        <v>-0.05</v>
      </c>
      <c r="BL3">
        <f>RiskSlide!$C$13</f>
        <v>-0.1</v>
      </c>
      <c r="BM3">
        <f>RiskSlide!$C$5</f>
        <v>0.1</v>
      </c>
      <c r="BN3">
        <f>RiskSlide!$C$6</f>
        <v>0.05</v>
      </c>
      <c r="BO3">
        <f>RiskSlide!$C$7</f>
        <v>0.01</v>
      </c>
      <c r="BP3">
        <f>RiskSlide!$C$8</f>
        <v>5.0000000000000001E-3</v>
      </c>
      <c r="BQ3">
        <f>RiskSlide!$C$9</f>
        <v>0</v>
      </c>
      <c r="BR3">
        <f>RiskSlide!$C$10</f>
        <v>-5.0000000000000001E-3</v>
      </c>
      <c r="BS3">
        <f>RiskSlide!$C$11</f>
        <v>-0.01</v>
      </c>
      <c r="BT3">
        <f>RiskSlide!$C$12</f>
        <v>-0.05</v>
      </c>
      <c r="BU3">
        <f>RiskSlide!$C$13</f>
        <v>-0.1</v>
      </c>
      <c r="BV3">
        <f>RiskSlide!$C$5</f>
        <v>0.1</v>
      </c>
      <c r="BW3">
        <f>RiskSlide!$C$6</f>
        <v>0.05</v>
      </c>
      <c r="BX3">
        <f>RiskSlide!$C$7</f>
        <v>0.01</v>
      </c>
      <c r="BY3">
        <f>RiskSlide!$C$8</f>
        <v>5.0000000000000001E-3</v>
      </c>
      <c r="BZ3">
        <f>RiskSlide!$C$9</f>
        <v>0</v>
      </c>
      <c r="CA3">
        <f>RiskSlide!$C$10</f>
        <v>-5.0000000000000001E-3</v>
      </c>
      <c r="CB3">
        <f>RiskSlide!$C$11</f>
        <v>-0.01</v>
      </c>
      <c r="CC3">
        <f>RiskSlide!$C$12</f>
        <v>-0.05</v>
      </c>
      <c r="CD3">
        <f>RiskSlide!$C$13</f>
        <v>-0.1</v>
      </c>
      <c r="CE3">
        <f>RiskSlide!$C$5</f>
        <v>0.1</v>
      </c>
      <c r="CF3">
        <f>RiskSlide!$C$6</f>
        <v>0.05</v>
      </c>
      <c r="CG3">
        <f>RiskSlide!$C$7</f>
        <v>0.01</v>
      </c>
      <c r="CH3">
        <f>RiskSlide!$C$8</f>
        <v>5.0000000000000001E-3</v>
      </c>
      <c r="CI3">
        <f>RiskSlide!$C$9</f>
        <v>0</v>
      </c>
      <c r="CJ3">
        <f>RiskSlide!$C$10</f>
        <v>-5.0000000000000001E-3</v>
      </c>
      <c r="CK3">
        <f>RiskSlide!$C$11</f>
        <v>-0.01</v>
      </c>
      <c r="CL3">
        <f>RiskSlide!$C$12</f>
        <v>-0.05</v>
      </c>
      <c r="CM3">
        <f>RiskSlide!$C$13</f>
        <v>-0.1</v>
      </c>
    </row>
    <row r="4" spans="1:91" x14ac:dyDescent="0.25">
      <c r="A4" s="2" t="s">
        <v>95</v>
      </c>
      <c r="B4" s="2" t="s">
        <v>96</v>
      </c>
      <c r="C4" s="2" t="s">
        <v>97</v>
      </c>
      <c r="D4" s="2" t="s">
        <v>98</v>
      </c>
      <c r="E4" s="2" t="s">
        <v>99</v>
      </c>
      <c r="F4" s="2" t="s">
        <v>100</v>
      </c>
      <c r="G4" s="2" t="s">
        <v>101</v>
      </c>
    </row>
    <row r="5" spans="1:91" x14ac:dyDescent="0.25">
      <c r="A5" t="s">
        <v>0</v>
      </c>
      <c r="B5">
        <v>-5</v>
      </c>
      <c r="D5">
        <v>1775.63</v>
      </c>
      <c r="K5">
        <f>PnLF((($D$7*(1+K$2))+($D$5-$D$6)),$D$5,$B5)</f>
        <v>44546.499999999978</v>
      </c>
      <c r="L5">
        <f t="shared" ref="L5:BW5" si="0">PnLF((($D$7*(1+L$2))-($D$6-$D$5)),$D$5,$B5)</f>
        <v>44546.499999999978</v>
      </c>
      <c r="M5">
        <f t="shared" si="0"/>
        <v>44546.499999999978</v>
      </c>
      <c r="N5">
        <f t="shared" si="0"/>
        <v>44546.499999999978</v>
      </c>
      <c r="O5">
        <f t="shared" si="0"/>
        <v>44546.499999999978</v>
      </c>
      <c r="P5">
        <f t="shared" si="0"/>
        <v>44546.499999999978</v>
      </c>
      <c r="Q5">
        <f t="shared" si="0"/>
        <v>44546.499999999978</v>
      </c>
      <c r="R5">
        <f t="shared" si="0"/>
        <v>44546.499999999978</v>
      </c>
      <c r="S5">
        <f t="shared" si="0"/>
        <v>44546.499999999978</v>
      </c>
      <c r="T5">
        <f t="shared" si="0"/>
        <v>22273.250000000018</v>
      </c>
      <c r="U5">
        <f t="shared" si="0"/>
        <v>22273.250000000018</v>
      </c>
      <c r="V5">
        <f t="shared" si="0"/>
        <v>22273.250000000018</v>
      </c>
      <c r="W5">
        <f t="shared" si="0"/>
        <v>22273.250000000018</v>
      </c>
      <c r="X5">
        <f t="shared" si="0"/>
        <v>22273.250000000018</v>
      </c>
      <c r="Y5">
        <f t="shared" si="0"/>
        <v>22273.250000000018</v>
      </c>
      <c r="Z5">
        <f t="shared" si="0"/>
        <v>22273.250000000018</v>
      </c>
      <c r="AA5">
        <f t="shared" si="0"/>
        <v>22273.250000000018</v>
      </c>
      <c r="AB5">
        <f t="shared" si="0"/>
        <v>22273.250000000018</v>
      </c>
      <c r="AC5">
        <f t="shared" si="0"/>
        <v>4454.6500000000151</v>
      </c>
      <c r="AD5">
        <f t="shared" si="0"/>
        <v>4454.6500000000151</v>
      </c>
      <c r="AE5">
        <f t="shared" si="0"/>
        <v>4454.6500000000151</v>
      </c>
      <c r="AF5">
        <f t="shared" si="0"/>
        <v>4454.6500000000151</v>
      </c>
      <c r="AG5">
        <f t="shared" si="0"/>
        <v>4454.6500000000151</v>
      </c>
      <c r="AH5">
        <f t="shared" si="0"/>
        <v>4454.6500000000151</v>
      </c>
      <c r="AI5">
        <f t="shared" si="0"/>
        <v>4454.6500000000151</v>
      </c>
      <c r="AJ5">
        <f t="shared" si="0"/>
        <v>4454.6500000000151</v>
      </c>
      <c r="AK5">
        <f t="shared" si="0"/>
        <v>4454.6500000000151</v>
      </c>
      <c r="AL5">
        <f t="shared" si="0"/>
        <v>2227.3250000000075</v>
      </c>
      <c r="AM5">
        <f t="shared" si="0"/>
        <v>2227.3250000000075</v>
      </c>
      <c r="AN5">
        <f t="shared" si="0"/>
        <v>2227.3250000000075</v>
      </c>
      <c r="AO5">
        <f t="shared" si="0"/>
        <v>2227.3250000000075</v>
      </c>
      <c r="AP5">
        <f t="shared" si="0"/>
        <v>2227.3250000000075</v>
      </c>
      <c r="AQ5">
        <f t="shared" si="0"/>
        <v>2227.3250000000075</v>
      </c>
      <c r="AR5">
        <f t="shared" si="0"/>
        <v>2227.3250000000075</v>
      </c>
      <c r="AS5">
        <f t="shared" si="0"/>
        <v>2227.3250000000075</v>
      </c>
      <c r="AT5">
        <f t="shared" si="0"/>
        <v>2227.3250000000075</v>
      </c>
      <c r="AU5">
        <f t="shared" si="0"/>
        <v>0</v>
      </c>
      <c r="AV5">
        <f t="shared" si="0"/>
        <v>0</v>
      </c>
      <c r="AW5">
        <f t="shared" si="0"/>
        <v>0</v>
      </c>
      <c r="AX5">
        <f t="shared" si="0"/>
        <v>0</v>
      </c>
      <c r="AY5">
        <f t="shared" si="0"/>
        <v>0</v>
      </c>
      <c r="AZ5">
        <f t="shared" si="0"/>
        <v>0</v>
      </c>
      <c r="BA5">
        <f t="shared" si="0"/>
        <v>0</v>
      </c>
      <c r="BB5">
        <f t="shared" si="0"/>
        <v>0</v>
      </c>
      <c r="BC5">
        <f t="shared" si="0"/>
        <v>0</v>
      </c>
      <c r="BD5">
        <f>PnLF((($D$7*(1+BD$2))-($D$6-$D$5)),$D$5,$B5)</f>
        <v>-2227.3249999999507</v>
      </c>
      <c r="BE5">
        <f t="shared" si="0"/>
        <v>-2227.3249999999507</v>
      </c>
      <c r="BF5">
        <f t="shared" si="0"/>
        <v>-2227.3249999999507</v>
      </c>
      <c r="BG5">
        <f t="shared" si="0"/>
        <v>-2227.3249999999507</v>
      </c>
      <c r="BH5">
        <f t="shared" si="0"/>
        <v>-2227.3249999999507</v>
      </c>
      <c r="BI5">
        <f t="shared" si="0"/>
        <v>-2227.3249999999507</v>
      </c>
      <c r="BJ5">
        <f t="shared" si="0"/>
        <v>-2227.3249999999507</v>
      </c>
      <c r="BK5">
        <f t="shared" si="0"/>
        <v>-2227.3249999999507</v>
      </c>
      <c r="BL5">
        <f t="shared" si="0"/>
        <v>-2227.3249999999507</v>
      </c>
      <c r="BM5">
        <f t="shared" si="0"/>
        <v>-4454.6500000000151</v>
      </c>
      <c r="BN5">
        <f t="shared" si="0"/>
        <v>-4454.6500000000151</v>
      </c>
      <c r="BO5">
        <f t="shared" si="0"/>
        <v>-4454.6500000000151</v>
      </c>
      <c r="BP5">
        <f t="shared" si="0"/>
        <v>-4454.6500000000151</v>
      </c>
      <c r="BQ5">
        <f t="shared" si="0"/>
        <v>-4454.6500000000151</v>
      </c>
      <c r="BR5">
        <f t="shared" si="0"/>
        <v>-4454.6500000000151</v>
      </c>
      <c r="BS5">
        <f t="shared" si="0"/>
        <v>-4454.6500000000151</v>
      </c>
      <c r="BT5">
        <f t="shared" si="0"/>
        <v>-4454.6500000000151</v>
      </c>
      <c r="BU5">
        <f t="shared" si="0"/>
        <v>-4454.6500000000151</v>
      </c>
      <c r="BV5">
        <f t="shared" si="0"/>
        <v>-22273.250000000018</v>
      </c>
      <c r="BW5">
        <f t="shared" si="0"/>
        <v>-22273.250000000018</v>
      </c>
      <c r="BX5">
        <f t="shared" ref="BX5:CM5" si="1">PnLF((($D$7*(1+BX$2))-($D$6-$D$5)),$D$5,$B5)</f>
        <v>-22273.250000000018</v>
      </c>
      <c r="BY5">
        <f t="shared" si="1"/>
        <v>-22273.250000000018</v>
      </c>
      <c r="BZ5">
        <f t="shared" si="1"/>
        <v>-22273.250000000018</v>
      </c>
      <c r="CA5">
        <f t="shared" si="1"/>
        <v>-22273.250000000018</v>
      </c>
      <c r="CB5">
        <f t="shared" si="1"/>
        <v>-22273.250000000018</v>
      </c>
      <c r="CC5">
        <f t="shared" si="1"/>
        <v>-22273.250000000018</v>
      </c>
      <c r="CD5">
        <f t="shared" si="1"/>
        <v>-22273.250000000018</v>
      </c>
      <c r="CE5">
        <f t="shared" si="1"/>
        <v>-44546.500000000036</v>
      </c>
      <c r="CF5">
        <f t="shared" si="1"/>
        <v>-44546.500000000036</v>
      </c>
      <c r="CG5">
        <f t="shared" si="1"/>
        <v>-44546.500000000036</v>
      </c>
      <c r="CH5">
        <f t="shared" si="1"/>
        <v>-44546.500000000036</v>
      </c>
      <c r="CI5">
        <f t="shared" si="1"/>
        <v>-44546.500000000036</v>
      </c>
      <c r="CJ5">
        <f t="shared" si="1"/>
        <v>-44546.500000000036</v>
      </c>
      <c r="CK5">
        <f t="shared" si="1"/>
        <v>-44546.500000000036</v>
      </c>
      <c r="CL5">
        <f t="shared" si="1"/>
        <v>-44546.500000000036</v>
      </c>
      <c r="CM5">
        <f t="shared" si="1"/>
        <v>-44546.500000000036</v>
      </c>
    </row>
    <row r="6" spans="1:91" x14ac:dyDescent="0.25">
      <c r="A6" t="s">
        <v>1</v>
      </c>
      <c r="B6">
        <v>113</v>
      </c>
      <c r="D6">
        <v>1781.86</v>
      </c>
      <c r="K6">
        <f>PnLF(($D$7*(1+K$2)),$D$6,$B6)</f>
        <v>-1006750.8999999996</v>
      </c>
      <c r="L6">
        <f t="shared" ref="L6:BW6" si="2">PnLF(($D$7*(1+L$2)),$D$6,$B6)</f>
        <v>-1006750.8999999996</v>
      </c>
      <c r="M6">
        <f t="shared" si="2"/>
        <v>-1006750.8999999996</v>
      </c>
      <c r="N6">
        <f t="shared" si="2"/>
        <v>-1006750.8999999996</v>
      </c>
      <c r="O6">
        <f t="shared" si="2"/>
        <v>-1006750.8999999996</v>
      </c>
      <c r="P6">
        <f t="shared" si="2"/>
        <v>-1006750.8999999996</v>
      </c>
      <c r="Q6">
        <f t="shared" si="2"/>
        <v>-1006750.8999999996</v>
      </c>
      <c r="R6">
        <f t="shared" si="2"/>
        <v>-1006750.8999999996</v>
      </c>
      <c r="S6">
        <f t="shared" si="2"/>
        <v>-1006750.8999999996</v>
      </c>
      <c r="T6">
        <f t="shared" si="2"/>
        <v>-503375.45000000042</v>
      </c>
      <c r="U6">
        <f t="shared" si="2"/>
        <v>-503375.45000000042</v>
      </c>
      <c r="V6">
        <f t="shared" si="2"/>
        <v>-503375.45000000042</v>
      </c>
      <c r="W6">
        <f t="shared" si="2"/>
        <v>-503375.45000000042</v>
      </c>
      <c r="X6">
        <f t="shared" si="2"/>
        <v>-503375.45000000042</v>
      </c>
      <c r="Y6">
        <f t="shared" si="2"/>
        <v>-503375.45000000042</v>
      </c>
      <c r="Z6">
        <f t="shared" si="2"/>
        <v>-503375.45000000042</v>
      </c>
      <c r="AA6">
        <f t="shared" si="2"/>
        <v>-503375.45000000042</v>
      </c>
      <c r="AB6">
        <f t="shared" si="2"/>
        <v>-503375.45000000042</v>
      </c>
      <c r="AC6">
        <f t="shared" si="2"/>
        <v>-100675.09000000035</v>
      </c>
      <c r="AD6">
        <f t="shared" si="2"/>
        <v>-100675.09000000035</v>
      </c>
      <c r="AE6">
        <f t="shared" si="2"/>
        <v>-100675.09000000035</v>
      </c>
      <c r="AF6">
        <f t="shared" si="2"/>
        <v>-100675.09000000035</v>
      </c>
      <c r="AG6">
        <f t="shared" si="2"/>
        <v>-100675.09000000035</v>
      </c>
      <c r="AH6">
        <f t="shared" si="2"/>
        <v>-100675.09000000035</v>
      </c>
      <c r="AI6">
        <f t="shared" si="2"/>
        <v>-100675.09000000035</v>
      </c>
      <c r="AJ6">
        <f t="shared" si="2"/>
        <v>-100675.09000000035</v>
      </c>
      <c r="AK6">
        <f t="shared" si="2"/>
        <v>-100675.09000000035</v>
      </c>
      <c r="AL6">
        <f t="shared" si="2"/>
        <v>-50337.545000000173</v>
      </c>
      <c r="AM6">
        <f t="shared" si="2"/>
        <v>-50337.545000000173</v>
      </c>
      <c r="AN6">
        <f t="shared" si="2"/>
        <v>-50337.545000000173</v>
      </c>
      <c r="AO6">
        <f t="shared" si="2"/>
        <v>-50337.545000000173</v>
      </c>
      <c r="AP6">
        <f t="shared" si="2"/>
        <v>-50337.545000000173</v>
      </c>
      <c r="AQ6">
        <f t="shared" si="2"/>
        <v>-50337.545000000173</v>
      </c>
      <c r="AR6">
        <f t="shared" si="2"/>
        <v>-50337.545000000173</v>
      </c>
      <c r="AS6">
        <f t="shared" si="2"/>
        <v>-50337.545000000173</v>
      </c>
      <c r="AT6">
        <f t="shared" si="2"/>
        <v>-50337.545000000173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50337.544999998885</v>
      </c>
      <c r="BE6">
        <f t="shared" si="2"/>
        <v>50337.544999998885</v>
      </c>
      <c r="BF6">
        <f t="shared" si="2"/>
        <v>50337.544999998885</v>
      </c>
      <c r="BG6">
        <f t="shared" si="2"/>
        <v>50337.544999998885</v>
      </c>
      <c r="BH6">
        <f t="shared" si="2"/>
        <v>50337.544999998885</v>
      </c>
      <c r="BI6">
        <f t="shared" si="2"/>
        <v>50337.544999998885</v>
      </c>
      <c r="BJ6">
        <f t="shared" si="2"/>
        <v>50337.544999998885</v>
      </c>
      <c r="BK6">
        <f t="shared" si="2"/>
        <v>50337.544999998885</v>
      </c>
      <c r="BL6">
        <f t="shared" si="2"/>
        <v>50337.544999998885</v>
      </c>
      <c r="BM6">
        <f t="shared" si="2"/>
        <v>100675.09000000035</v>
      </c>
      <c r="BN6">
        <f t="shared" si="2"/>
        <v>100675.09000000035</v>
      </c>
      <c r="BO6">
        <f t="shared" si="2"/>
        <v>100675.09000000035</v>
      </c>
      <c r="BP6">
        <f t="shared" si="2"/>
        <v>100675.09000000035</v>
      </c>
      <c r="BQ6">
        <f t="shared" si="2"/>
        <v>100675.09000000035</v>
      </c>
      <c r="BR6">
        <f t="shared" si="2"/>
        <v>100675.09000000035</v>
      </c>
      <c r="BS6">
        <f t="shared" si="2"/>
        <v>100675.09000000035</v>
      </c>
      <c r="BT6">
        <f t="shared" si="2"/>
        <v>100675.09000000035</v>
      </c>
      <c r="BU6">
        <f t="shared" si="2"/>
        <v>100675.09000000035</v>
      </c>
      <c r="BV6">
        <f t="shared" si="2"/>
        <v>503375.45000000042</v>
      </c>
      <c r="BW6">
        <f t="shared" si="2"/>
        <v>503375.45000000042</v>
      </c>
      <c r="BX6">
        <f t="shared" ref="BX6:CM6" si="3">PnLF(($D$7*(1+BX$2)),$D$6,$B6)</f>
        <v>503375.45000000042</v>
      </c>
      <c r="BY6">
        <f t="shared" si="3"/>
        <v>503375.45000000042</v>
      </c>
      <c r="BZ6">
        <f t="shared" si="3"/>
        <v>503375.45000000042</v>
      </c>
      <c r="CA6">
        <f t="shared" si="3"/>
        <v>503375.45000000042</v>
      </c>
      <c r="CB6">
        <f t="shared" si="3"/>
        <v>503375.45000000042</v>
      </c>
      <c r="CC6">
        <f t="shared" si="3"/>
        <v>503375.45000000042</v>
      </c>
      <c r="CD6">
        <f t="shared" si="3"/>
        <v>503375.45000000042</v>
      </c>
      <c r="CE6">
        <f t="shared" si="3"/>
        <v>1006750.9000000008</v>
      </c>
      <c r="CF6">
        <f t="shared" si="3"/>
        <v>1006750.9000000008</v>
      </c>
      <c r="CG6">
        <f t="shared" si="3"/>
        <v>1006750.9000000008</v>
      </c>
      <c r="CH6">
        <f t="shared" si="3"/>
        <v>1006750.9000000008</v>
      </c>
      <c r="CI6">
        <f t="shared" si="3"/>
        <v>1006750.9000000008</v>
      </c>
      <c r="CJ6">
        <f t="shared" si="3"/>
        <v>1006750.9000000008</v>
      </c>
      <c r="CK6">
        <f t="shared" si="3"/>
        <v>1006750.9000000008</v>
      </c>
      <c r="CL6">
        <f t="shared" si="3"/>
        <v>1006750.9000000008</v>
      </c>
      <c r="CM6">
        <f t="shared" si="3"/>
        <v>1006750.9000000008</v>
      </c>
    </row>
    <row r="7" spans="1:91" x14ac:dyDescent="0.25">
      <c r="A7" t="s">
        <v>2</v>
      </c>
      <c r="B7">
        <v>5</v>
      </c>
      <c r="C7">
        <v>0</v>
      </c>
      <c r="D7">
        <f>RiskSlide!A4</f>
        <v>1781.86</v>
      </c>
      <c r="E7">
        <v>1555</v>
      </c>
      <c r="F7">
        <v>3.5000000000000001E-3</v>
      </c>
      <c r="G7">
        <v>0.40075499999999997</v>
      </c>
      <c r="K7">
        <f>PnL(($D$7*(1+K$2)),$E7,(RiskSlide!$A$7),($G7+K$3),((RiskSlide!$A$10)/260),$C7,$B7,RiskSlide!$H36)</f>
        <v>4851.5551497791612</v>
      </c>
      <c r="L7">
        <f>PnL(($D$7*(1+L$2)),$E7,(RiskSlide!$A$7),($G7+L$3),((RiskSlide!$A$10)/260),$C7,$B7,RiskSlide!$H36)</f>
        <v>4000.43849373394</v>
      </c>
      <c r="M7">
        <f>PnL(($D$7*(1+M$2)),$E7,(RiskSlide!$A$7),($G7+M$3),((RiskSlide!$A$10)/260),$C7,$B7,RiskSlide!$H36)</f>
        <v>3339.6625748277293</v>
      </c>
      <c r="N7">
        <f>PnL(($D$7*(1+N$2)),$E7,(RiskSlide!$A$7),($G7+N$3),((RiskSlide!$A$10)/260),$C7,$B7,RiskSlide!$H36)</f>
        <v>3258.5845289812046</v>
      </c>
      <c r="O7">
        <f>PnL(($D$7*(1+O$2)),$E7,(RiskSlide!$A$7),($G7+O$3),((RiskSlide!$A$10)/260),$C7,$B7,RiskSlide!$H36)</f>
        <v>3177.8810658435664</v>
      </c>
      <c r="P7">
        <f>PnL(($D$7*(1+P$2)),$E7,(RiskSlide!$A$7),($G7+P$3),((RiskSlide!$A$10)/260),$C7,$B7,RiskSlide!$H36)</f>
        <v>3097.5645840253792</v>
      </c>
      <c r="Q7">
        <f>PnL(($D$7*(1+Q$2)),$E7,(RiskSlide!$A$7),($G7+Q$3),((RiskSlide!$A$10)/260),$C7,$B7,RiskSlide!$H36)</f>
        <v>3017.6480059742817</v>
      </c>
      <c r="R7">
        <f>PnL(($D$7*(1+R$2)),$E7,(RiskSlide!$A$7),($G7+R$3),((RiskSlide!$A$10)/260),$C7,$B7,RiskSlide!$H36)</f>
        <v>2394.4574566852752</v>
      </c>
      <c r="S7">
        <f>PnL(($D$7*(1+S$2)),$E7,(RiskSlide!$A$7),($G7+S$3),((RiskSlide!$A$10)/260),$C7,$B7,RiskSlide!$H36)</f>
        <v>1666.2020054765364</v>
      </c>
      <c r="T7">
        <f>PnL(($D$7*(1+T$2)),$E7,(RiskSlide!$A$7),($G7+T$3),((RiskSlide!$A$10)/260),$C7,$B7,RiskSlide!$H36)</f>
        <v>972.16435880875611</v>
      </c>
      <c r="U7">
        <f>PnL(($D$7*(1+U$2)),$E7,(RiskSlide!$A$7),($G7+U$3),((RiskSlide!$A$10)/260),$C7,$B7,RiskSlide!$H36)</f>
        <v>616.5301741385656</v>
      </c>
      <c r="V7">
        <f>PnL(($D$7*(1+V$2)),$E7,(RiskSlide!$A$7),($G7+V$3),((RiskSlide!$A$10)/260),$C7,$B7,RiskSlide!$H36)</f>
        <v>389.8534207856963</v>
      </c>
      <c r="W7">
        <f>PnL(($D$7*(1+W$2)),$E7,(RiskSlide!$A$7),($G7+W$3),((RiskSlide!$A$10)/260),$C7,$B7,RiskSlide!$H36)</f>
        <v>365.28642888900873</v>
      </c>
      <c r="X7">
        <f>PnL(($D$7*(1+X$2)),$E7,(RiskSlide!$A$7),($G7+X$3),((RiskSlide!$A$10)/260),$C7,$B7,RiskSlide!$H36)</f>
        <v>341.56670359581096</v>
      </c>
      <c r="Y7">
        <f>PnL(($D$7*(1+Y$2)),$E7,(RiskSlide!$A$7),($G7+Y$3),((RiskSlide!$A$10)/260),$C7,$B7,RiskSlide!$H36)</f>
        <v>318.69547335211632</v>
      </c>
      <c r="Z7">
        <f>PnL(($D$7*(1+Z$2)),$E7,(RiskSlide!$A$7),($G7+Z$3),((RiskSlide!$A$10)/260),$C7,$B7,RiskSlide!$H36)</f>
        <v>296.67320593442861</v>
      </c>
      <c r="AA7">
        <f>PnL(($D$7*(1+AA$2)),$E7,(RiskSlide!$A$7),($G7+AA$3),((RiskSlide!$A$10)/260),$C7,$B7,RiskSlide!$H36)</f>
        <v>150.8217365033706</v>
      </c>
      <c r="AB7">
        <f>PnL(($D$7*(1+AB$2)),$E7,(RiskSlide!$A$7),($G7+AB$3),((RiskSlide!$A$10)/260),$C7,$B7,RiskSlide!$H36)</f>
        <v>40.06025736384067</v>
      </c>
      <c r="AC7">
        <f>PnL(($D$7*(1+AC$2)),$E7,(RiskSlide!$A$7),($G7+AC$3),((RiskSlide!$A$10)/260),$C7,$B7,RiskSlide!$H36)</f>
        <v>181.28622412296002</v>
      </c>
      <c r="AD7">
        <f>PnL(($D$7*(1+AD$2)),$E7,(RiskSlide!$A$7),($G7+AD$3),((RiskSlide!$A$10)/260),$C7,$B7,RiskSlide!$H36)</f>
        <v>76.867280453700943</v>
      </c>
      <c r="AE7">
        <f>PnL(($D$7*(1+AE$2)),$E7,(RiskSlide!$A$7),($G7+AE$3),((RiskSlide!$A$10)/260),$C7,$B7,RiskSlide!$H36)</f>
        <v>26.237284274837293</v>
      </c>
      <c r="AF7">
        <f>PnL(($D$7*(1+AF$2)),$E7,(RiskSlide!$A$7),($G7+AF$3),((RiskSlide!$A$10)/260),$C7,$B7,RiskSlide!$H36)</f>
        <v>21.645659704996547</v>
      </c>
      <c r="AG7">
        <f>PnL(($D$7*(1+AG$2)),$E7,(RiskSlide!$A$7),($G7+AG$3),((RiskSlide!$A$10)/260),$C7,$B7,RiskSlide!$H36)</f>
        <v>17.396240831604402</v>
      </c>
      <c r="AH7">
        <f>PnL(($D$7*(1+AH$2)),$E7,(RiskSlide!$A$7),($G7+AH$3),((RiskSlide!$A$10)/260),$C7,$B7,RiskSlide!$H36)</f>
        <v>13.475049298182773</v>
      </c>
      <c r="AI7">
        <f>PnL(($D$7*(1+AI$2)),$E7,(RiskSlide!$A$7),($G7+AI$3),((RiskSlide!$A$10)/260),$C7,$B7,RiskSlide!$H36)</f>
        <v>9.8678784451611268</v>
      </c>
      <c r="AJ7">
        <f>PnL(($D$7*(1+AJ$2)),$E7,(RiskSlide!$A$7),($G7+AJ$3),((RiskSlide!$A$10)/260),$C7,$B7,RiskSlide!$H36)</f>
        <v>-9.4323643419055294</v>
      </c>
      <c r="AK7">
        <f>PnL(($D$7*(1+AK$2)),$E7,(RiskSlide!$A$7),($G7+AK$3),((RiskSlide!$A$10)/260),$C7,$B7,RiskSlide!$H36)</f>
        <v>-17.741538243689821</v>
      </c>
      <c r="AL7">
        <f>PnL(($D$7*(1+AL$2)),$E7,(RiskSlide!$A$7),($G7+AL$3),((RiskSlide!$A$10)/260),$C7,$B7,RiskSlide!$H36)</f>
        <v>141.7585560190966</v>
      </c>
      <c r="AM7">
        <f>PnL(($D$7*(1+AM$2)),$E7,(RiskSlide!$A$7),($G7+AM$3),((RiskSlide!$A$10)/260),$C7,$B7,RiskSlide!$H36)</f>
        <v>54.764608767553071</v>
      </c>
      <c r="AN7">
        <f>PnL(($D$7*(1+AN$2)),$E7,(RiskSlide!$A$7),($G7+AN$3),((RiskSlide!$A$10)/260),$C7,$B7,RiskSlide!$H36)</f>
        <v>14.263903424785118</v>
      </c>
      <c r="AO7">
        <f>PnL(($D$7*(1+AO$2)),$E7,(RiskSlide!$A$7),($G7+AO$3),((RiskSlide!$A$10)/260),$C7,$B7,RiskSlide!$H36)</f>
        <v>10.689059971590087</v>
      </c>
      <c r="AP7">
        <f>PnL(($D$7*(1+AP$2)),$E7,(RiskSlide!$A$7),($G7+AP$3),((RiskSlide!$A$10)/260),$C7,$B7,RiskSlide!$H36)</f>
        <v>7.4014430477462589</v>
      </c>
      <c r="AQ7">
        <f>PnL(($D$7*(1+AQ$2)),$E7,(RiskSlide!$A$7),($G7+AQ$3),((RiskSlide!$A$10)/260),$C7,$B7,RiskSlide!$H36)</f>
        <v>4.387555897053419</v>
      </c>
      <c r="AR7">
        <f>PnL(($D$7*(1+AR$2)),$E7,(RiskSlide!$A$7),($G7+AR$3),((RiskSlide!$A$10)/260),$C7,$B7,RiskSlide!$H36)</f>
        <v>1.6338099930157668</v>
      </c>
      <c r="AS7">
        <f>PnL(($D$7*(1+AS$2)),$E7,(RiskSlide!$A$7),($G7+AS$3),((RiskSlide!$A$10)/260),$C7,$B7,RiskSlide!$H36)</f>
        <v>-12.658535523394576</v>
      </c>
      <c r="AT7">
        <f>PnL(($D$7*(1+AT$2)),$E7,(RiskSlide!$A$7),($G7+AT$3),((RiskSlide!$A$10)/260),$C7,$B7,RiskSlide!$H36)</f>
        <v>-18.329344116613189</v>
      </c>
      <c r="AU7">
        <f>PnL(($D$7*(1+AU$2)),$E7,(RiskSlide!$A$7),($G7+AU$3),((RiskSlide!$A$10)/260),$C7,$B7,RiskSlide!$H36)</f>
        <v>109.46948750052665</v>
      </c>
      <c r="AV7">
        <f>PnL(($D$7*(1+AV$2)),$E7,(RiskSlide!$A$7),($G7+AV$3),((RiskSlide!$A$10)/260),$C7,$B7,RiskSlide!$H36)</f>
        <v>37.436661063795505</v>
      </c>
      <c r="AW7">
        <f>PnL(($D$7*(1+AW$2)),$E7,(RiskSlide!$A$7),($G7+AW$3),((RiskSlide!$A$10)/260),$C7,$B7,RiskSlide!$H36)</f>
        <v>5.2807665476266585</v>
      </c>
      <c r="AX7">
        <f>PnL(($D$7*(1+AX$2)),$E7,(RiskSlide!$A$7),($G7+AX$3),((RiskSlide!$A$10)/260),$C7,$B7,RiskSlide!$H36)</f>
        <v>2.5212794691262808</v>
      </c>
      <c r="AY7">
        <f>PnL(($D$7*(1+AY$2)),$E7,(RiskSlide!$A$7),($G7+AY$3),((RiskSlide!$A$10)/260),$C7,$B7,RiskSlide!$H36)</f>
        <v>0</v>
      </c>
      <c r="AZ7">
        <f>PnL(($D$7*(1+AZ$2)),$E7,(RiskSlide!$A$7),($G7+AZ$3),((RiskSlide!$A$10)/260),$C7,$B7,RiskSlide!$H36)</f>
        <v>-2.2957678413342286</v>
      </c>
      <c r="BA7">
        <f>PnL(($D$7*(1+BA$2)),$E7,(RiskSlide!$A$7),($G7+BA$3),((RiskSlide!$A$10)/260),$C7,$B7,RiskSlide!$H36)</f>
        <v>-4.3786913553738316</v>
      </c>
      <c r="BB7">
        <f>PnL(($D$7*(1+BB$2)),$E7,(RiskSlide!$A$7),($G7+BB$3),((RiskSlide!$A$10)/260),$C7,$B7,RiskSlide!$H36)</f>
        <v>-14.85829170193581</v>
      </c>
      <c r="BC7">
        <f>PnL(($D$7*(1+BC$2)),$E7,(RiskSlide!$A$7),($G7+BC$3),((RiskSlide!$A$10)/260),$C7,$B7,RiskSlide!$H36)</f>
        <v>-18.682557145791449</v>
      </c>
      <c r="BD7">
        <f>PnL(($D$7*(1+BD$2)),$E7,(RiskSlide!$A$7),($G7+BD$3),((RiskSlide!$A$10)/260),$C7,$B7,RiskSlide!$H36)</f>
        <v>83.219946780853206</v>
      </c>
      <c r="BE7">
        <f>PnL(($D$7*(1+BE$2)),$E7,(RiskSlide!$A$7),($G7+BE$3),((RiskSlide!$A$10)/260),$C7,$B7,RiskSlide!$H36)</f>
        <v>23.934010226181137</v>
      </c>
      <c r="BF7">
        <f>PnL(($D$7*(1+BF$2)),$E7,(RiskSlide!$A$7),($G7+BF$3),((RiskSlide!$A$10)/260),$C7,$B7,RiskSlide!$H36)</f>
        <v>-1.409120216790738</v>
      </c>
      <c r="BG7">
        <f>PnL(($D$7*(1+BG$2)),$E7,(RiskSlide!$A$7),($G7+BG$3),((RiskSlide!$A$10)/260),$C7,$B7,RiskSlide!$H36)</f>
        <v>-3.5213388130241885</v>
      </c>
      <c r="BH7">
        <f>PnL(($D$7*(1+BH$2)),$E7,(RiskSlide!$A$7),($G7+BH$3),((RiskSlide!$A$10)/260),$C7,$B7,RiskSlide!$H36)</f>
        <v>-5.438280174835608</v>
      </c>
      <c r="BI7">
        <f>PnL(($D$7*(1+BI$2)),$E7,(RiskSlide!$A$7),($G7+BI$3),((RiskSlide!$A$10)/260),$C7,$B7,RiskSlide!$H36)</f>
        <v>-7.1716150153926517</v>
      </c>
      <c r="BJ7">
        <f>PnL(($D$7*(1+BJ$2)),$E7,(RiskSlide!$A$7),($G7+BJ$3),((RiskSlide!$A$10)/260),$C7,$B7,RiskSlide!$H36)</f>
        <v>-8.7328854496017136</v>
      </c>
      <c r="BK7">
        <f>PnL(($D$7*(1+BK$2)),$E7,(RiskSlide!$A$7),($G7+BK$3),((RiskSlide!$A$10)/260),$C7,$B7,RiskSlide!$H36)</f>
        <v>-16.342635821319423</v>
      </c>
      <c r="BL7">
        <f>PnL(($D$7*(1+BL$2)),$E7,(RiskSlide!$A$7),($G7+BL$3),((RiskSlide!$A$10)/260),$C7,$B7,RiskSlide!$H36)</f>
        <v>-18.891754567873495</v>
      </c>
      <c r="BM7">
        <f>PnL(($D$7*(1+BM$2)),$E7,(RiskSlide!$A$7),($G7+BM$3),((RiskSlide!$A$10)/260),$C7,$B7,RiskSlide!$H36)</f>
        <v>61.981559045116484</v>
      </c>
      <c r="BN7">
        <f>PnL(($D$7*(1+BN$2)),$E7,(RiskSlide!$A$7),($G7+BN$3),((RiskSlide!$A$10)/260),$C7,$B7,RiskSlide!$H36)</f>
        <v>13.475043559609379</v>
      </c>
      <c r="BO7">
        <f>PnL(($D$7*(1+BO$2)),$E7,(RiskSlide!$A$7),($G7+BO$3),((RiskSlide!$A$10)/260),$C7,$B7,RiskSlide!$H36)</f>
        <v>-6.3547850868814759</v>
      </c>
      <c r="BP7">
        <f>PnL(($D$7*(1+BP$2)),$E7,(RiskSlide!$A$7),($G7+BP$3),((RiskSlide!$A$10)/260),$C7,$B7,RiskSlide!$H36)</f>
        <v>-7.958200018421957</v>
      </c>
      <c r="BQ7">
        <f>PnL(($D$7*(1+BQ$2)),$E7,(RiskSlide!$A$7),($G7+BQ$3),((RiskSlide!$A$10)/260),$C7,$B7,RiskSlide!$H36)</f>
        <v>-9.4033188891903272</v>
      </c>
      <c r="BR7">
        <f>PnL(($D$7*(1+BR$2)),$E7,(RiskSlide!$A$7),($G7+BR$3),((RiskSlide!$A$10)/260),$C7,$B7,RiskSlide!$H36)</f>
        <v>-10.700649954425767</v>
      </c>
      <c r="BS7">
        <f>PnL(($D$7*(1+BS$2)),$E7,(RiskSlide!$A$7),($G7+BS$3),((RiskSlide!$A$10)/260),$C7,$B7,RiskSlide!$H36)</f>
        <v>-11.860495580087726</v>
      </c>
      <c r="BT7">
        <f>PnL(($D$7*(1+BT$2)),$E7,(RiskSlide!$A$7),($G7+BT$3),((RiskSlide!$A$10)/260),$C7,$B7,RiskSlide!$H36)</f>
        <v>-17.333970413907135</v>
      </c>
      <c r="BU7">
        <f>PnL(($D$7*(1+BU$2)),$E7,(RiskSlide!$A$7),($G7+BU$3),((RiskSlide!$A$10)/260),$C7,$B7,RiskSlide!$H36)</f>
        <v>-19.013897831838005</v>
      </c>
      <c r="BV7">
        <f>PnL(($D$7*(1+BV$2)),$E7,(RiskSlide!$A$7),($G7+BV$3),((RiskSlide!$A$10)/260),$C7,$B7,RiskSlide!$H36)</f>
        <v>-8.2777582082987919</v>
      </c>
      <c r="BW7">
        <f>PnL(($D$7*(1+BW$2)),$E7,(RiskSlide!$A$7),($G7+BW$3),((RiskSlide!$A$10)/260),$C7,$B7,RiskSlide!$H36)</f>
        <v>-16.246611228097869</v>
      </c>
      <c r="BX7">
        <f>PnL(($D$7*(1+BX$2)),$E7,(RiskSlide!$A$7),($G7+BX$3),((RiskSlide!$A$10)/260),$C7,$B7,RiskSlide!$H36)</f>
        <v>-18.426784072896101</v>
      </c>
      <c r="BY7">
        <f>PnL(($D$7*(1+BY$2)),$E7,(RiskSlide!$A$7),($G7+BY$3),((RiskSlide!$A$10)/260),$C7,$B7,RiskSlide!$H36)</f>
        <v>-18.559930765648129</v>
      </c>
      <c r="BZ7">
        <f>PnL(($D$7*(1+BZ$2)),$E7,(RiskSlide!$A$7),($G7+BZ$3),((RiskSlide!$A$10)/260),$C7,$B7,RiskSlide!$H36)</f>
        <v>-18.672657225023535</v>
      </c>
      <c r="CA7">
        <f>PnL(($D$7*(1+CA$2)),$E7,(RiskSlide!$A$7),($G7+CA$3),((RiskSlide!$A$10)/260),$C7,$B7,RiskSlide!$H36)</f>
        <v>-18.76749527873201</v>
      </c>
      <c r="CB7">
        <f>PnL(($D$7*(1+CB$2)),$E7,(RiskSlide!$A$7),($G7+CB$3),((RiskSlide!$A$10)/260),$C7,$B7,RiskSlide!$H36)</f>
        <v>-18.846756487125404</v>
      </c>
      <c r="CC7">
        <f>PnL(($D$7*(1+CC$2)),$E7,(RiskSlide!$A$7),($G7+CC$3),((RiskSlide!$A$10)/260),$C7,$B7,RiskSlide!$H36)</f>
        <v>-19.131223510603018</v>
      </c>
      <c r="CD7">
        <f>PnL(($D$7*(1+CD$2)),$E7,(RiskSlide!$A$7),($G7+CD$3),((RiskSlide!$A$10)/260),$C7,$B7,RiskSlide!$H36)</f>
        <v>-19.172114967379738</v>
      </c>
      <c r="CE7">
        <f>PnL(($D$7*(1+CE$2)),$E7,(RiskSlide!$A$7),($G7+CE$3),((RiskSlide!$A$10)/260),$C7,$B7,RiskSlide!$H36)</f>
        <v>-18.548077922847469</v>
      </c>
      <c r="CF7">
        <f>PnL(($D$7*(1+CF$2)),$E7,(RiskSlide!$A$7),($G7+CF$3),((RiskSlide!$A$10)/260),$C7,$B7,RiskSlide!$H36)</f>
        <v>-19.080918502653255</v>
      </c>
      <c r="CG7">
        <f>PnL(($D$7*(1+CG$2)),$E7,(RiskSlide!$A$7),($G7+CG$3),((RiskSlide!$A$10)/260),$C7,$B7,RiskSlide!$H36)</f>
        <v>-19.160784255829697</v>
      </c>
      <c r="CH7">
        <f>PnL(($D$7*(1+CH$2)),$E7,(RiskSlide!$A$7),($G7+CH$3),((RiskSlide!$A$10)/260),$C7,$B7,RiskSlide!$H36)</f>
        <v>-19.163902947723862</v>
      </c>
      <c r="CI7">
        <f>PnL(($D$7*(1+CI$2)),$E7,(RiskSlide!$A$7),($G7+CI$3),((RiskSlide!$A$10)/260),$C7,$B7,RiskSlide!$H36)</f>
        <v>-19.166306037669006</v>
      </c>
      <c r="CJ7">
        <f>PnL(($D$7*(1+CJ$2)),$E7,(RiskSlide!$A$7),($G7+CJ$3),((RiskSlide!$A$10)/260),$C7,$B7,RiskSlide!$H36)</f>
        <v>-19.16813954044882</v>
      </c>
      <c r="CK7">
        <f>PnL(($D$7*(1+CK$2)),$E7,(RiskSlide!$A$7),($G7+CK$3),((RiskSlide!$A$10)/260),$C7,$B7,RiskSlide!$H36)</f>
        <v>-19.169524025221428</v>
      </c>
      <c r="CL7">
        <f>PnL(($D$7*(1+CL$2)),$E7,(RiskSlide!$A$7),($G7+CL$3),((RiskSlide!$A$10)/260),$C7,$B7,RiskSlide!$H36)</f>
        <v>-19.172996356821233</v>
      </c>
      <c r="CM7">
        <f>PnL(($D$7*(1+CM$2)),$E7,(RiskSlide!$A$7),($G7+CM$3),((RiskSlide!$A$10)/260),$C7,$B7,RiskSlide!$H36)</f>
        <v>-19.173167443999478</v>
      </c>
    </row>
    <row r="8" spans="1:91" x14ac:dyDescent="0.25">
      <c r="A8" t="s">
        <v>3</v>
      </c>
      <c r="B8">
        <v>-2</v>
      </c>
      <c r="C8">
        <v>0</v>
      </c>
      <c r="E8">
        <v>1580</v>
      </c>
      <c r="F8">
        <v>3.5000000000000001E-3</v>
      </c>
      <c r="G8">
        <v>0.36719200000000002</v>
      </c>
      <c r="K8">
        <f>PnL(($D$7*(1+K$2)),$E8,(RiskSlide!$A$7),($G8+K$3),((RiskSlide!$A$10)/260),$C8,$B8,RiskSlide!$H37)</f>
        <v>-2602.9751935517575</v>
      </c>
      <c r="L8">
        <f>PnL(($D$7*(1+L$2)),$E8,(RiskSlide!$A$7),($G8+L$3),((RiskSlide!$A$10)/260),$C8,$B8,RiskSlide!$H37)</f>
        <v>-2223.6582596158009</v>
      </c>
      <c r="M8">
        <f>PnL(($D$7*(1+M$2)),$E8,(RiskSlide!$A$7),($G8+M$3),((RiskSlide!$A$10)/260),$C8,$B8,RiskSlide!$H37)</f>
        <v>-1922.8605722476495</v>
      </c>
      <c r="N8">
        <f>PnL(($D$7*(1+N$2)),$E8,(RiskSlide!$A$7),($G8+N$3),((RiskSlide!$A$10)/260),$C8,$B8,RiskSlide!$H37)</f>
        <v>-1885.468329776169</v>
      </c>
      <c r="O8">
        <f>PnL(($D$7*(1+O$2)),$E8,(RiskSlide!$A$7),($G8+O$3),((RiskSlide!$A$10)/260),$C8,$B8,RiskSlide!$H37)</f>
        <v>-1848.1283051791515</v>
      </c>
      <c r="P8">
        <f>PnL(($D$7*(1+P$2)),$E8,(RiskSlide!$A$7),($G8+P$3),((RiskSlide!$A$10)/260),$C8,$B8,RiskSlide!$H37)</f>
        <v>-1810.8425981441692</v>
      </c>
      <c r="Q8">
        <f>PnL(($D$7*(1+Q$2)),$E8,(RiskSlide!$A$7),($G8+Q$3),((RiskSlide!$A$10)/260),$C8,$B8,RiskSlide!$H37)</f>
        <v>-1773.6134202391363</v>
      </c>
      <c r="R8">
        <f>PnL(($D$7*(1+R$2)),$E8,(RiskSlide!$A$7),($G8+R$3),((RiskSlide!$A$10)/260),$C8,$B8,RiskSlide!$H37)</f>
        <v>-1478.12387880604</v>
      </c>
      <c r="S8">
        <f>PnL(($D$7*(1+S$2)),$E8,(RiskSlide!$A$7),($G8+S$3),((RiskSlide!$A$10)/260),$C8,$B8,RiskSlide!$H37)</f>
        <v>-1116.5990608807911</v>
      </c>
      <c r="T8">
        <f>PnL(($D$7*(1+T$2)),$E8,(RiskSlide!$A$7),($G8+T$3),((RiskSlide!$A$10)/260),$C8,$B8,RiskSlide!$H37)</f>
        <v>-532.02566968417443</v>
      </c>
      <c r="U8">
        <f>PnL(($D$7*(1+U$2)),$E8,(RiskSlide!$A$7),($G8+U$3),((RiskSlide!$A$10)/260),$C8,$B8,RiskSlide!$H37)</f>
        <v>-348.89982016099231</v>
      </c>
      <c r="V8">
        <f>PnL(($D$7*(1+V$2)),$E8,(RiskSlide!$A$7),($G8+V$3),((RiskSlide!$A$10)/260),$C8,$B8,RiskSlide!$H37)</f>
        <v>-227.63127846156613</v>
      </c>
      <c r="W8">
        <f>PnL(($D$7*(1+W$2)),$E8,(RiskSlide!$A$7),($G8+W$3),((RiskSlide!$A$10)/260),$C8,$B8,RiskSlide!$H37)</f>
        <v>-214.19256465174846</v>
      </c>
      <c r="X8">
        <f>PnL(($D$7*(1+X$2)),$E8,(RiskSlide!$A$7),($G8+X$3),((RiskSlide!$A$10)/260),$C8,$B8,RiskSlide!$H37)</f>
        <v>-201.15103202393448</v>
      </c>
      <c r="Y8">
        <f>PnL(($D$7*(1+Y$2)),$E8,(RiskSlide!$A$7),($G8+Y$3),((RiskSlide!$A$10)/260),$C8,$B8,RiskSlide!$H37)</f>
        <v>-188.51065952880708</v>
      </c>
      <c r="Z8">
        <f>PnL(($D$7*(1+Z$2)),$E8,(RiskSlide!$A$7),($G8+Z$3),((RiskSlide!$A$10)/260),$C8,$B8,RiskSlide!$H37)</f>
        <v>-176.27517373865294</v>
      </c>
      <c r="AA8">
        <f>PnL(($D$7*(1+AA$2)),$E8,(RiskSlide!$A$7),($G8+AA$3),((RiskSlide!$A$10)/260),$C8,$B8,RiskSlide!$H37)</f>
        <v>-93.30477222694276</v>
      </c>
      <c r="AB8">
        <f>PnL(($D$7*(1+AB$2)),$E8,(RiskSlide!$A$7),($G8+AB$3),((RiskSlide!$A$10)/260),$C8,$B8,RiskSlide!$H37)</f>
        <v>-27.048192349497935</v>
      </c>
      <c r="AC8">
        <f>PnL(($D$7*(1+AC$2)),$E8,(RiskSlide!$A$7),($G8+AC$3),((RiskSlide!$A$10)/260),$C8,$B8,RiskSlide!$H37)</f>
        <v>-96.45418553776031</v>
      </c>
      <c r="AD8">
        <f>PnL(($D$7*(1+AD$2)),$E8,(RiskSlide!$A$7),($G8+AD$3),((RiskSlide!$A$10)/260),$C8,$B8,RiskSlide!$H37)</f>
        <v>-41.549736432287347</v>
      </c>
      <c r="AE8">
        <f>PnL(($D$7*(1+AE$2)),$E8,(RiskSlide!$A$7),($G8+AE$3),((RiskSlide!$A$10)/260),$C8,$B8,RiskSlide!$H37)</f>
        <v>-14.412113775260682</v>
      </c>
      <c r="AF8">
        <f>PnL(($D$7*(1+AF$2)),$E8,(RiskSlide!$A$7),($G8+AF$3),((RiskSlide!$A$10)/260),$C8,$B8,RiskSlide!$H37)</f>
        <v>-11.933480424559217</v>
      </c>
      <c r="AG8">
        <f>PnL(($D$7*(1+AG$2)),$E8,(RiskSlide!$A$7),($G8+AG$3),((RiskSlide!$A$10)/260),$C8,$B8,RiskSlide!$H37)</f>
        <v>-9.6375923629673288</v>
      </c>
      <c r="AH8">
        <f>PnL(($D$7*(1+AH$2)),$E8,(RiskSlide!$A$7),($G8+AH$3),((RiskSlide!$A$10)/260),$C8,$B8,RiskSlide!$H37)</f>
        <v>-7.5177091096187532</v>
      </c>
      <c r="AI8">
        <f>PnL(($D$7*(1+AI$2)),$E8,(RiskSlide!$A$7),($G8+AI$3),((RiskSlide!$A$10)/260),$C8,$B8,RiskSlide!$H37)</f>
        <v>-5.5668813244881044</v>
      </c>
      <c r="AJ8">
        <f>PnL(($D$7*(1+AJ$2)),$E8,(RiskSlide!$A$7),($G8+AJ$3),((RiskSlide!$A$10)/260),$C8,$B8,RiskSlide!$H37)</f>
        <v>4.8402356726024998</v>
      </c>
      <c r="AK8">
        <f>PnL(($D$7*(1+AK$2)),$E8,(RiskSlide!$A$7),($G8+AK$3),((RiskSlide!$A$10)/260),$C8,$B8,RiskSlide!$H37)</f>
        <v>9.1687511178180632</v>
      </c>
      <c r="AL8">
        <f>PnL(($D$7*(1+AL$2)),$E8,(RiskSlide!$A$7),($G8+AL$3),((RiskSlide!$A$10)/260),$C8,$B8,RiskSlide!$H37)</f>
        <v>-74.91141120460432</v>
      </c>
      <c r="AM8">
        <f>PnL(($D$7*(1+AM$2)),$E8,(RiskSlide!$A$7),($G8+AM$3),((RiskSlide!$A$10)/260),$C8,$B8,RiskSlide!$H37)</f>
        <v>-29.290061952471103</v>
      </c>
      <c r="AN8">
        <f>PnL(($D$7*(1+AN$2)),$E8,(RiskSlide!$A$7),($G8+AN$3),((RiskSlide!$A$10)/260),$C8,$B8,RiskSlide!$H37)</f>
        <v>-7.7294549658469158</v>
      </c>
      <c r="AO8">
        <f>PnL(($D$7*(1+AO$2)),$E8,(RiskSlide!$A$7),($G8+AO$3),((RiskSlide!$A$10)/260),$C8,$B8,RiskSlide!$H37)</f>
        <v>-5.8191386757211028</v>
      </c>
      <c r="AP8">
        <f>PnL(($D$7*(1+AP$2)),$E8,(RiskSlide!$A$7),($G8+AP$3),((RiskSlide!$A$10)/260),$C8,$B8,RiskSlide!$H37)</f>
        <v>-4.0622885418831522</v>
      </c>
      <c r="AQ8">
        <f>PnL(($D$7*(1+AQ$2)),$E8,(RiskSlide!$A$7),($G8+AQ$3),((RiskSlide!$A$10)/260),$C8,$B8,RiskSlide!$H37)</f>
        <v>-2.4521683127832539</v>
      </c>
      <c r="AR8">
        <f>PnL(($D$7*(1+AR$2)),$E8,(RiskSlide!$A$7),($G8+AR$3),((RiskSlide!$A$10)/260),$C8,$B8,RiskSlide!$H37)</f>
        <v>-0.98191625227919133</v>
      </c>
      <c r="AS8">
        <f>PnL(($D$7*(1+AS$2)),$E8,(RiskSlide!$A$7),($G8+AS$3),((RiskSlide!$A$10)/260),$C8,$B8,RiskSlide!$H37)</f>
        <v>6.590914619394761</v>
      </c>
      <c r="AT8">
        <f>PnL(($D$7*(1+AT$2)),$E8,(RiskSlide!$A$7),($G8+AT$3),((RiskSlide!$A$10)/260),$C8,$B8,RiskSlide!$H37)</f>
        <v>9.452216654556473</v>
      </c>
      <c r="AU8">
        <f>PnL(($D$7*(1+AU$2)),$E8,(RiskSlide!$A$7),($G8+AU$3),((RiskSlide!$A$10)/260),$C8,$B8,RiskSlide!$H37)</f>
        <v>-57.398475203932534</v>
      </c>
      <c r="AV8">
        <f>PnL(($D$7*(1+AV$2)),$E8,(RiskSlide!$A$7),($G8+AV$3),((RiskSlide!$A$10)/260),$C8,$B8,RiskSlide!$H37)</f>
        <v>-19.764075061496467</v>
      </c>
      <c r="AW8">
        <f>PnL(($D$7*(1+AW$2)),$E8,(RiskSlide!$A$7),($G8+AW$3),((RiskSlide!$A$10)/260),$C8,$B8,RiskSlide!$H37)</f>
        <v>-2.7872981412607523</v>
      </c>
      <c r="AX8">
        <f>PnL(($D$7*(1+AX$2)),$E8,(RiskSlide!$A$7),($G8+AX$3),((RiskSlide!$A$10)/260),$C8,$B8,RiskSlide!$H37)</f>
        <v>-1.3301522732099613</v>
      </c>
      <c r="AY8">
        <f>PnL(($D$7*(1+AY$2)),$E8,(RiskSlide!$A$7),($G8+AY$3),((RiskSlide!$A$10)/260),$C8,$B8,RiskSlide!$H37)</f>
        <v>0</v>
      </c>
      <c r="AZ8">
        <f>PnL(($D$7*(1+AZ$2)),$E8,(RiskSlide!$A$7),($G8+AZ$3),((RiskSlide!$A$10)/260),$C8,$B8,RiskSlide!$H37)</f>
        <v>1.2096511469460225</v>
      </c>
      <c r="BA8">
        <f>PnL(($D$7*(1+BA$2)),$E8,(RiskSlide!$A$7),($G8+BA$3),((RiskSlide!$A$10)/260),$C8,$B8,RiskSlide!$H37)</f>
        <v>2.305341006001882</v>
      </c>
      <c r="BB8">
        <f>PnL(($D$7*(1+BB$2)),$E8,(RiskSlide!$A$7),($G8+BB$3),((RiskSlide!$A$10)/260),$C8,$B8,RiskSlide!$H37)</f>
        <v>7.7493786635129736</v>
      </c>
      <c r="BC8">
        <f>PnL(($D$7*(1+BC$2)),$E8,(RiskSlide!$A$7),($G8+BC$3),((RiskSlide!$A$10)/260),$C8,$B8,RiskSlide!$H37)</f>
        <v>9.6129766909071517</v>
      </c>
      <c r="BD8">
        <f>PnL(($D$7*(1+BD$2)),$E8,(RiskSlide!$A$7),($G8+BD$3),((RiskSlide!$A$10)/260),$C8,$B8,RiskSlide!$H37)</f>
        <v>-43.241043798530669</v>
      </c>
      <c r="BE8">
        <f>PnL(($D$7*(1+BE$2)),$E8,(RiskSlide!$A$7),($G8+BE$3),((RiskSlide!$A$10)/260),$C8,$B8,RiskSlide!$H37)</f>
        <v>-12.415145769409452</v>
      </c>
      <c r="BF8">
        <f>PnL(($D$7*(1+BF$2)),$E8,(RiskSlide!$A$7),($G8+BF$3),((RiskSlide!$A$10)/260),$C8,$B8,RiskSlide!$H37)</f>
        <v>0.83515267105420676</v>
      </c>
      <c r="BG8">
        <f>PnL(($D$7*(1+BG$2)),$E8,(RiskSlide!$A$7),($G8+BG$3),((RiskSlide!$A$10)/260),$C8,$B8,RiskSlide!$H37)</f>
        <v>1.9353632292032685</v>
      </c>
      <c r="BH8">
        <f>PnL(($D$7*(1+BH$2)),$E8,(RiskSlide!$A$7),($G8+BH$3),((RiskSlide!$A$10)/260),$C8,$B8,RiskSlide!$H37)</f>
        <v>2.9319677149222123</v>
      </c>
      <c r="BI8">
        <f>PnL(($D$7*(1+BI$2)),$E8,(RiskSlide!$A$7),($G8+BI$3),((RiskSlide!$A$10)/260),$C8,$B8,RiskSlide!$H37)</f>
        <v>3.8310338653756659</v>
      </c>
      <c r="BJ8">
        <f>PnL(($D$7*(1+BJ$2)),$E8,(RiskSlide!$A$7),($G8+BJ$3),((RiskSlide!$A$10)/260),$C8,$B8,RiskSlide!$H37)</f>
        <v>4.6386086603133148</v>
      </c>
      <c r="BK8">
        <f>PnL(($D$7*(1+BK$2)),$E8,(RiskSlide!$A$7),($G8+BK$3),((RiskSlide!$A$10)/260),$C8,$B8,RiskSlide!$H37)</f>
        <v>8.506074822144182</v>
      </c>
      <c r="BL8">
        <f>PnL(($D$7*(1+BL$2)),$E8,(RiskSlide!$A$7),($G8+BL$3),((RiskSlide!$A$10)/260),$C8,$B8,RiskSlide!$H37)</f>
        <v>9.7024586931259336</v>
      </c>
      <c r="BM8">
        <f>PnL(($D$7*(1+BM$2)),$E8,(RiskSlide!$A$7),($G8+BM$3),((RiskSlide!$A$10)/260),$C8,$B8,RiskSlide!$H37)</f>
        <v>-31.859497592491959</v>
      </c>
      <c r="BN8">
        <f>PnL(($D$7*(1+BN$2)),$E8,(RiskSlide!$A$7),($G8+BN$3),((RiskSlide!$A$10)/260),$C8,$B8,RiskSlide!$H37)</f>
        <v>-6.7858769596120361</v>
      </c>
      <c r="BO8">
        <f>PnL(($D$7*(1+BO$2)),$E8,(RiskSlide!$A$7),($G8+BO$3),((RiskSlide!$A$10)/260),$C8,$B8,RiskSlide!$H37)</f>
        <v>3.4669169219458063</v>
      </c>
      <c r="BP8">
        <f>PnL(($D$7*(1+BP$2)),$E8,(RiskSlide!$A$7),($G8+BP$3),((RiskSlide!$A$10)/260),$C8,$B8,RiskSlide!$H37)</f>
        <v>4.2893349030448391</v>
      </c>
      <c r="BQ8">
        <f>PnL(($D$7*(1+BQ$2)),$E8,(RiskSlide!$A$7),($G8+BQ$3),((RiskSlide!$A$10)/260),$C8,$B8,RiskSlide!$H37)</f>
        <v>5.0283784258053466</v>
      </c>
      <c r="BR8">
        <f>PnL(($D$7*(1+BR$2)),$E8,(RiskSlide!$A$7),($G8+BR$3),((RiskSlide!$A$10)/260),$C8,$B8,RiskSlide!$H37)</f>
        <v>5.6895674866594081</v>
      </c>
      <c r="BS8">
        <f>PnL(($D$7*(1+BS$2)),$E8,(RiskSlide!$A$7),($G8+BS$3),((RiskSlide!$A$10)/260),$C8,$B8,RiskSlide!$H37)</f>
        <v>6.2783461004128238</v>
      </c>
      <c r="BT8">
        <f>PnL(($D$7*(1+BT$2)),$E8,(RiskSlide!$A$7),($G8+BT$3),((RiskSlide!$A$10)/260),$C8,$B8,RiskSlide!$H37)</f>
        <v>8.9940358376949465</v>
      </c>
      <c r="BU8">
        <f>PnL(($D$7*(1+BU$2)),$E8,(RiskSlide!$A$7),($G8+BU$3),((RiskSlide!$A$10)/260),$C8,$B8,RiskSlide!$H37)</f>
        <v>9.7513540676870178</v>
      </c>
      <c r="BV8">
        <f>PnL(($D$7*(1+BV$2)),$E8,(RiskSlide!$A$7),($G8+BV$3),((RiskSlide!$A$10)/260),$C8,$B8,RiskSlide!$H37)</f>
        <v>4.7313912527948254</v>
      </c>
      <c r="BW8">
        <f>PnL(($D$7*(1+BW$2)),$E8,(RiskSlide!$A$7),($G8+BW$3),((RiskSlide!$A$10)/260),$C8,$B8,RiskSlide!$H37)</f>
        <v>8.5252875094847465</v>
      </c>
      <c r="BX8">
        <f>PnL(($D$7*(1+BX$2)),$E8,(RiskSlide!$A$7),($G8+BX$3),((RiskSlide!$A$10)/260),$C8,$B8,RiskSlide!$H37)</f>
        <v>9.5085576771547942</v>
      </c>
      <c r="BY8">
        <f>PnL(($D$7*(1+BY$2)),$E8,(RiskSlide!$A$7),($G8+BY$3),((RiskSlide!$A$10)/260),$C8,$B8,RiskSlide!$H37)</f>
        <v>9.5654541965664617</v>
      </c>
      <c r="BZ8">
        <f>PnL(($D$7*(1+BZ$2)),$E8,(RiskSlide!$A$7),($G8+BZ$3),((RiskSlide!$A$10)/260),$C8,$B8,RiskSlide!$H37)</f>
        <v>9.6129727108203245</v>
      </c>
      <c r="CA8">
        <f>PnL(($D$7*(1+CA$2)),$E8,(RiskSlide!$A$7),($G8+CA$3),((RiskSlide!$A$10)/260),$C8,$B8,RiskSlide!$H37)</f>
        <v>9.6523642557740761</v>
      </c>
      <c r="CB8">
        <f>PnL(($D$7*(1+CB$2)),$E8,(RiskSlide!$A$7),($G8+CB$3),((RiskSlide!$A$10)/260),$C8,$B8,RiskSlide!$H37)</f>
        <v>9.684762779084032</v>
      </c>
      <c r="CC8">
        <f>PnL(($D$7*(1+CC$2)),$E8,(RiskSlide!$A$7),($G8+CC$3),((RiskSlide!$A$10)/260),$C8,$B8,RiskSlide!$H37)</f>
        <v>9.7933257022130675</v>
      </c>
      <c r="CD8">
        <f>PnL(($D$7*(1+CD$2)),$E8,(RiskSlide!$A$7),($G8+CD$3),((RiskSlide!$A$10)/260),$C8,$B8,RiskSlide!$H37)</f>
        <v>9.805558875421573</v>
      </c>
      <c r="CE8">
        <f>PnL(($D$7*(1+CE$2)),$E8,(RiskSlide!$A$7),($G8+CE$3),((RiskSlide!$A$10)/260),$C8,$B8,RiskSlide!$H37)</f>
        <v>9.5631670855535749</v>
      </c>
      <c r="CF8">
        <f>PnL(($D$7*(1+CF$2)),$E8,(RiskSlide!$A$7),($G8+CF$3),((RiskSlide!$A$10)/260),$C8,$B8,RiskSlide!$H37)</f>
        <v>9.7750212658622573</v>
      </c>
      <c r="CG8">
        <f>PnL(($D$7*(1+CG$2)),$E8,(RiskSlide!$A$7),($G8+CG$3),((RiskSlide!$A$10)/260),$C8,$B8,RiskSlide!$H37)</f>
        <v>9.8023890521609847</v>
      </c>
      <c r="CH8">
        <f>PnL(($D$7*(1+CH$2)),$E8,(RiskSlide!$A$7),($G8+CH$3),((RiskSlide!$A$10)/260),$C8,$B8,RiskSlide!$H37)</f>
        <v>9.8033157758310594</v>
      </c>
      <c r="CI8">
        <f>PnL(($D$7*(1+CI$2)),$E8,(RiskSlide!$A$7),($G8+CI$3),((RiskSlide!$A$10)/260),$C8,$B8,RiskSlide!$H37)</f>
        <v>9.8040072997259458</v>
      </c>
      <c r="CJ8">
        <f>PnL(($D$7*(1+CJ$2)),$E8,(RiskSlide!$A$7),($G8+CJ$3),((RiskSlide!$A$10)/260),$C8,$B8,RiskSlide!$H37)</f>
        <v>9.804517106507701</v>
      </c>
      <c r="CK8">
        <f>PnL(($D$7*(1+CK$2)),$E8,(RiskSlide!$A$7),($G8+CK$3),((RiskSlide!$A$10)/260),$C8,$B8,RiskSlide!$H37)</f>
        <v>9.8048881730539552</v>
      </c>
      <c r="CL8">
        <f>PnL(($D$7*(1+CL$2)),$E8,(RiskSlide!$A$7),($G8+CL$3),((RiskSlide!$A$10)/260),$C8,$B8,RiskSlide!$H37)</f>
        <v>9.8057092230994805</v>
      </c>
      <c r="CM8">
        <f>PnL(($D$7*(1+CM$2)),$E8,(RiskSlide!$A$7),($G8+CM$3),((RiskSlide!$A$10)/260),$C8,$B8,RiskSlide!$H37)</f>
        <v>9.8057345114200078</v>
      </c>
    </row>
    <row r="9" spans="1:91" x14ac:dyDescent="0.25">
      <c r="A9" t="s">
        <v>4</v>
      </c>
      <c r="B9">
        <v>-2</v>
      </c>
      <c r="C9">
        <v>0</v>
      </c>
      <c r="E9">
        <v>1590</v>
      </c>
      <c r="F9">
        <v>3.5000000000000001E-3</v>
      </c>
      <c r="G9">
        <v>0.35370000000000001</v>
      </c>
      <c r="K9">
        <f>PnL(($D$7*(1+K$2)),$E9,(RiskSlide!$A$7),($G9+K$3),((RiskSlide!$A$10)/260),$C9,$B9,RiskSlide!$H38)</f>
        <v>-2927.4503694075042</v>
      </c>
      <c r="L9">
        <f>PnL(($D$7*(1+L$2)),$E9,(RiskSlide!$A$7),($G9+L$3),((RiskSlide!$A$10)/260),$C9,$B9,RiskSlide!$H38)</f>
        <v>-2537.6945213677664</v>
      </c>
      <c r="M9">
        <f>PnL(($D$7*(1+M$2)),$E9,(RiskSlide!$A$7),($G9+M$3),((RiskSlide!$A$10)/260),$C9,$B9,RiskSlide!$H38)</f>
        <v>-2226.8828786255062</v>
      </c>
      <c r="N9">
        <f>PnL(($D$7*(1+N$2)),$E9,(RiskSlide!$A$7),($G9+N$3),((RiskSlide!$A$10)/260),$C9,$B9,RiskSlide!$H38)</f>
        <v>-2188.1102097929875</v>
      </c>
      <c r="O9">
        <f>PnL(($D$7*(1+O$2)),$E9,(RiskSlide!$A$7),($G9+O$3),((RiskSlide!$A$10)/260),$C9,$B9,RiskSlide!$H38)</f>
        <v>-2149.357546030169</v>
      </c>
      <c r="P9">
        <f>PnL(($D$7*(1+P$2)),$E9,(RiskSlide!$A$7),($G9+P$3),((RiskSlide!$A$10)/260),$C9,$B9,RiskSlide!$H38)</f>
        <v>-2110.6257521113525</v>
      </c>
      <c r="Q9">
        <f>PnL(($D$7*(1+Q$2)),$E9,(RiskSlide!$A$7),($G9+Q$3),((RiskSlide!$A$10)/260),$C9,$B9,RiskSlide!$H38)</f>
        <v>-2071.9157420783381</v>
      </c>
      <c r="R9">
        <f>PnL(($D$7*(1+R$2)),$E9,(RiskSlide!$A$7),($G9+R$3),((RiskSlide!$A$10)/260),$C9,$B9,RiskSlide!$H38)</f>
        <v>-1763.1489621266358</v>
      </c>
      <c r="S9">
        <f>PnL(($D$7*(1+S$2)),$E9,(RiskSlide!$A$7),($G9+S$3),((RiskSlide!$A$10)/260),$C9,$B9,RiskSlide!$H38)</f>
        <v>-1380.3216371970027</v>
      </c>
      <c r="T9">
        <f>PnL(($D$7*(1+T$2)),$E9,(RiskSlide!$A$7),($G9+T$3),((RiskSlide!$A$10)/260),$C9,$B9,RiskSlide!$H38)</f>
        <v>-605.24395741901481</v>
      </c>
      <c r="U9">
        <f>PnL(($D$7*(1+U$2)),$E9,(RiskSlide!$A$7),($G9+U$3),((RiskSlide!$A$10)/260),$C9,$B9,RiskSlide!$H38)</f>
        <v>-402.97338573447547</v>
      </c>
      <c r="V9">
        <f>PnL(($D$7*(1+V$2)),$E9,(RiskSlide!$A$7),($G9+V$3),((RiskSlide!$A$10)/260),$C9,$B9,RiskSlide!$H38)</f>
        <v>-266.75387343098322</v>
      </c>
      <c r="W9">
        <f>PnL(($D$7*(1+W$2)),$E9,(RiskSlide!$A$7),($G9+W$3),((RiskSlide!$A$10)/260),$C9,$B9,RiskSlide!$H38)</f>
        <v>-251.50653080016266</v>
      </c>
      <c r="X9">
        <f>PnL(($D$7*(1+X$2)),$E9,(RiskSlide!$A$7),($G9+X$3),((RiskSlide!$A$10)/260),$C9,$B9,RiskSlide!$H38)</f>
        <v>-236.67523429947747</v>
      </c>
      <c r="Y9">
        <f>PnL(($D$7*(1+Y$2)),$E9,(RiskSlide!$A$7),($G9+Y$3),((RiskSlide!$A$10)/260),$C9,$B9,RiskSlide!$H38)</f>
        <v>-222.26579360647375</v>
      </c>
      <c r="Z9">
        <f>PnL(($D$7*(1+Z$2)),$E9,(RiskSlide!$A$7),($G9+Z$3),((RiskSlide!$A$10)/260),$C9,$B9,RiskSlide!$H38)</f>
        <v>-208.28383191465772</v>
      </c>
      <c r="AA9">
        <f>PnL(($D$7*(1+AA$2)),$E9,(RiskSlide!$A$7),($G9+AA$3),((RiskSlide!$A$10)/260),$C9,$B9,RiskSlide!$H38)</f>
        <v>-112.40160677952132</v>
      </c>
      <c r="AB9">
        <f>PnL(($D$7*(1+AB$2)),$E9,(RiskSlide!$A$7),($G9+AB$3),((RiskSlide!$A$10)/260),$C9,$B9,RiskSlide!$H38)</f>
        <v>-33.897244537981933</v>
      </c>
      <c r="AC9">
        <f>PnL(($D$7*(1+AC$2)),$E9,(RiskSlide!$A$7),($G9+AC$3),((RiskSlide!$A$10)/260),$C9,$B9,RiskSlide!$H38)</f>
        <v>-108.57439457741292</v>
      </c>
      <c r="AD9">
        <f>PnL(($D$7*(1+AD$2)),$E9,(RiskSlide!$A$7),($G9+AD$3),((RiskSlide!$A$10)/260),$C9,$B9,RiskSlide!$H38)</f>
        <v>-47.130751878183389</v>
      </c>
      <c r="AE9">
        <f>PnL(($D$7*(1+AE$2)),$E9,(RiskSlide!$A$7),($G9+AE$3),((RiskSlide!$A$10)/260),$C9,$B9,RiskSlide!$H38)</f>
        <v>-16.475677046693615</v>
      </c>
      <c r="AF9">
        <f>PnL(($D$7*(1+AF$2)),$E9,(RiskSlide!$A$7),($G9+AF$3),((RiskSlide!$A$10)/260),$C9,$B9,RiskSlide!$H38)</f>
        <v>-13.665112015263059</v>
      </c>
      <c r="AG9">
        <f>PnL(($D$7*(1+AG$2)),$E9,(RiskSlide!$A$7),($G9+AG$3),((RiskSlide!$A$10)/260),$C9,$B9,RiskSlide!$H38)</f>
        <v>-11.060355365844554</v>
      </c>
      <c r="AH9">
        <f>PnL(($D$7*(1+AH$2)),$E9,(RiskSlide!$A$7),($G9+AH$3),((RiskSlide!$A$10)/260),$C9,$B9,RiskSlide!$H38)</f>
        <v>-8.6542184762083529</v>
      </c>
      <c r="AI9">
        <f>PnL(($D$7*(1+AI$2)),$E9,(RiskSlide!$A$7),($G9+AI$3),((RiskSlide!$A$10)/260),$C9,$B9,RiskSlide!$H38)</f>
        <v>-6.4392345697121378</v>
      </c>
      <c r="AJ9">
        <f>PnL(($D$7*(1+AJ$2)),$E9,(RiskSlide!$A$7),($G9+AJ$3),((RiskSlide!$A$10)/260),$C9,$B9,RiskSlide!$H38)</f>
        <v>5.3697627083300503</v>
      </c>
      <c r="AK9">
        <f>PnL(($D$7*(1+AK$2)),$E9,(RiskSlide!$A$7),($G9+AK$3),((RiskSlide!$A$10)/260),$C9,$B9,RiskSlide!$H38)</f>
        <v>10.212139958757781</v>
      </c>
      <c r="AL9">
        <f>PnL(($D$7*(1+AL$2)),$E9,(RiskSlide!$A$7),($G9+AL$3),((RiskSlide!$A$10)/260),$C9,$B9,RiskSlide!$H38)</f>
        <v>-84.085553997050781</v>
      </c>
      <c r="AM9">
        <f>PnL(($D$7*(1+AM$2)),$E9,(RiskSlide!$A$7),($G9+AM$3),((RiskSlide!$A$10)/260),$C9,$B9,RiskSlide!$H38)</f>
        <v>-33.073975486997668</v>
      </c>
      <c r="AN9">
        <f>PnL(($D$7*(1+AN$2)),$E9,(RiskSlide!$A$7),($G9+AN$3),((RiskSlide!$A$10)/260),$C9,$B9,RiskSlide!$H38)</f>
        <v>-8.7842593150132764</v>
      </c>
      <c r="AO9">
        <f>PnL(($D$7*(1+AO$2)),$E9,(RiskSlide!$A$7),($G9+AO$3),((RiskSlide!$A$10)/260),$C9,$B9,RiskSlide!$H38)</f>
        <v>-6.6271490671147681</v>
      </c>
      <c r="AP9">
        <f>PnL(($D$7*(1+AP$2)),$E9,(RiskSlide!$A$7),($G9+AP$3),((RiskSlide!$A$10)/260),$C9,$B9,RiskSlide!$H38)</f>
        <v>-4.6430331270664205</v>
      </c>
      <c r="AQ9">
        <f>PnL(($D$7*(1+AQ$2)),$E9,(RiskSlide!$A$7),($G9+AQ$3),((RiskSlide!$A$10)/260),$C9,$B9,RiskSlide!$H38)</f>
        <v>-2.8245868498863125</v>
      </c>
      <c r="AR9">
        <f>PnL(($D$7*(1+AR$2)),$E9,(RiskSlide!$A$7),($G9+AR$3),((RiskSlide!$A$10)/260),$C9,$B9,RiskSlide!$H38)</f>
        <v>-1.1643048957675539</v>
      </c>
      <c r="AS9">
        <f>PnL(($D$7*(1+AS$2)),$E9,(RiskSlide!$A$7),($G9+AS$3),((RiskSlide!$A$10)/260),$C9,$B9,RiskSlide!$H38)</f>
        <v>7.3632337913789314</v>
      </c>
      <c r="AT9">
        <f>PnL(($D$7*(1+AT$2)),$E9,(RiskSlide!$A$7),($G9+AT$3),((RiskSlide!$A$10)/260),$C9,$B9,RiskSlide!$H38)</f>
        <v>10.517962733770453</v>
      </c>
      <c r="AU9">
        <f>PnL(($D$7*(1+AU$2)),$E9,(RiskSlide!$A$7),($G9+AU$3),((RiskSlide!$A$10)/260),$C9,$B9,RiskSlide!$H38)</f>
        <v>-64.215481642085152</v>
      </c>
      <c r="AV9">
        <f>PnL(($D$7*(1+AV$2)),$E9,(RiskSlide!$A$7),($G9+AV$3),((RiskSlide!$A$10)/260),$C9,$B9,RiskSlide!$H38)</f>
        <v>-22.191958271165912</v>
      </c>
      <c r="AW9">
        <f>PnL(($D$7*(1+AW$2)),$E9,(RiskSlide!$A$7),($G9+AW$3),((RiskSlide!$A$10)/260),$C9,$B9,RiskSlide!$H38)</f>
        <v>-3.1311433855626625</v>
      </c>
      <c r="AX9">
        <f>PnL(($D$7*(1+AX$2)),$E9,(RiskSlide!$A$7),($G9+AX$3),((RiskSlide!$A$10)/260),$C9,$B9,RiskSlide!$H38)</f>
        <v>-1.4940262936016246</v>
      </c>
      <c r="AY9">
        <f>PnL(($D$7*(1+AY$2)),$E9,(RiskSlide!$A$7),($G9+AY$3),((RiskSlide!$A$10)/260),$C9,$B9,RiskSlide!$H38)</f>
        <v>0</v>
      </c>
      <c r="AZ9">
        <f>PnL(($D$7*(1+AZ$2)),$E9,(RiskSlide!$A$7),($G9+AZ$3),((RiskSlide!$A$10)/260),$C9,$B9,RiskSlide!$H38)</f>
        <v>1.3580902601051825</v>
      </c>
      <c r="BA9">
        <f>PnL(($D$7*(1+BA$2)),$E9,(RiskSlide!$A$7),($G9+BA$3),((RiskSlide!$A$10)/260),$C9,$B9,RiskSlide!$H38)</f>
        <v>2.5874857398347828</v>
      </c>
      <c r="BB9">
        <f>PnL(($D$7*(1+BB$2)),$E9,(RiskSlide!$A$7),($G9+BB$3),((RiskSlide!$A$10)/260),$C9,$B9,RiskSlide!$H38)</f>
        <v>8.6645619996729817</v>
      </c>
      <c r="BC9">
        <f>PnL(($D$7*(1+BC$2)),$E9,(RiskSlide!$A$7),($G9+BC$3),((RiskSlide!$A$10)/260),$C9,$B9,RiskSlide!$H38)</f>
        <v>10.686681453516139</v>
      </c>
      <c r="BD9">
        <f>PnL(($D$7*(1+BD$2)),$E9,(RiskSlide!$A$7),($G9+BD$3),((RiskSlide!$A$10)/260),$C9,$B9,RiskSlide!$H38)</f>
        <v>-48.188946721892648</v>
      </c>
      <c r="BE9">
        <f>PnL(($D$7*(1+BE$2)),$E9,(RiskSlide!$A$7),($G9+BE$3),((RiskSlide!$A$10)/260),$C9,$B9,RiskSlide!$H38)</f>
        <v>-13.832344312130207</v>
      </c>
      <c r="BF9">
        <f>PnL(($D$7*(1+BF$2)),$E9,(RiskSlide!$A$7),($G9+BF$3),((RiskSlide!$A$10)/260),$C9,$B9,RiskSlide!$H38)</f>
        <v>0.98385623994268201</v>
      </c>
      <c r="BG9">
        <f>PnL(($D$7*(1+BG$2)),$E9,(RiskSlide!$A$7),($G9+BG$3),((RiskSlide!$A$10)/260),$C9,$B9,RiskSlide!$H38)</f>
        <v>2.2126862838148575</v>
      </c>
      <c r="BH9">
        <f>PnL(($D$7*(1+BH$2)),$E9,(RiskSlide!$A$7),($G9+BH$3),((RiskSlide!$A$10)/260),$C9,$B9,RiskSlide!$H38)</f>
        <v>3.3249784552205952</v>
      </c>
      <c r="BI9">
        <f>PnL(($D$7*(1+BI$2)),$E9,(RiskSlide!$A$7),($G9+BI$3),((RiskSlide!$A$10)/260),$C9,$B9,RiskSlide!$H38)</f>
        <v>4.3274803599150147</v>
      </c>
      <c r="BJ9">
        <f>PnL(($D$7*(1+BJ$2)),$E9,(RiskSlide!$A$7),($G9+BJ$3),((RiskSlide!$A$10)/260),$C9,$B9,RiskSlide!$H38)</f>
        <v>5.2269419450151844</v>
      </c>
      <c r="BK9">
        <f>PnL(($D$7*(1+BK$2)),$E9,(RiskSlide!$A$7),($G9+BK$3),((RiskSlide!$A$10)/260),$C9,$B9,RiskSlide!$H38)</f>
        <v>9.5020373890937861</v>
      </c>
      <c r="BL9">
        <f>PnL(($D$7*(1+BL$2)),$E9,(RiskSlide!$A$7),($G9+BL$3),((RiskSlide!$A$10)/260),$C9,$B9,RiskSlide!$H38)</f>
        <v>10.777836366721502</v>
      </c>
      <c r="BM9">
        <f>PnL(($D$7*(1+BM$2)),$E9,(RiskSlide!$A$7),($G9+BM$3),((RiskSlide!$A$10)/260),$C9,$B9,RiskSlide!$H38)</f>
        <v>-35.338675276033186</v>
      </c>
      <c r="BN9">
        <f>PnL(($D$7*(1+BN$2)),$E9,(RiskSlide!$A$7),($G9+BN$3),((RiskSlide!$A$10)/260),$C9,$B9,RiskSlide!$H38)</f>
        <v>-7.4592864625718569</v>
      </c>
      <c r="BO9">
        <f>PnL(($D$7*(1+BO$2)),$E9,(RiskSlide!$A$7),($G9+BO$3),((RiskSlide!$A$10)/260),$C9,$B9,RiskSlide!$H38)</f>
        <v>3.9506922956327628</v>
      </c>
      <c r="BP9">
        <f>PnL(($D$7*(1+BP$2)),$E9,(RiskSlide!$A$7),($G9+BP$3),((RiskSlide!$A$10)/260),$C9,$B9,RiskSlide!$H38)</f>
        <v>4.8630878619949414</v>
      </c>
      <c r="BQ9">
        <f>PnL(($D$7*(1+BQ$2)),$E9,(RiskSlide!$A$7),($G9+BQ$3),((RiskSlide!$A$10)/260),$C9,$B9,RiskSlide!$H38)</f>
        <v>5.6819780676322207</v>
      </c>
      <c r="BR9">
        <f>PnL(($D$7*(1+BR$2)),$E9,(RiskSlide!$A$7),($G9+BR$3),((RiskSlide!$A$10)/260),$C9,$B9,RiskSlide!$H38)</f>
        <v>6.4135366611671962</v>
      </c>
      <c r="BS9">
        <f>PnL(($D$7*(1+BS$2)),$E9,(RiskSlide!$A$7),($G9+BS$3),((RiskSlide!$A$10)/260),$C9,$B9,RiskSlide!$H38)</f>
        <v>7.0638701363563428</v>
      </c>
      <c r="BT9">
        <f>PnL(($D$7*(1+BT$2)),$E9,(RiskSlide!$A$7),($G9+BT$3),((RiskSlide!$A$10)/260),$C9,$B9,RiskSlide!$H38)</f>
        <v>10.033449379202164</v>
      </c>
      <c r="BU9">
        <f>PnL(($D$7*(1+BU$2)),$E9,(RiskSlide!$A$7),($G9+BU$3),((RiskSlide!$A$10)/260),$C9,$B9,RiskSlide!$H38)</f>
        <v>10.82607820629943</v>
      </c>
      <c r="BV9">
        <f>PnL(($D$7*(1+BV$2)),$E9,(RiskSlide!$A$7),($G9+BV$3),((RiskSlide!$A$10)/260),$C9,$B9,RiskSlide!$H38)</f>
        <v>5.4808901419673095</v>
      </c>
      <c r="BW9">
        <f>PnL(($D$7*(1+BW$2)),$E9,(RiskSlide!$A$7),($G9+BW$3),((RiskSlide!$A$10)/260),$C9,$B9,RiskSlide!$H38)</f>
        <v>9.5519228018257074</v>
      </c>
      <c r="BX9">
        <f>PnL(($D$7*(1+BX$2)),$E9,(RiskSlide!$A$7),($G9+BX$3),((RiskSlide!$A$10)/260),$C9,$B9,RiskSlide!$H38)</f>
        <v>10.5816587147125</v>
      </c>
      <c r="BY9">
        <f>PnL(($D$7*(1+BY$2)),$E9,(RiskSlide!$A$7),($G9+BY$3),((RiskSlide!$A$10)/260),$C9,$B9,RiskSlide!$H38)</f>
        <v>10.639773023778892</v>
      </c>
      <c r="BZ9">
        <f>PnL(($D$7*(1+BZ$2)),$E9,(RiskSlide!$A$7),($G9+BZ$3),((RiskSlide!$A$10)/260),$C9,$B9,RiskSlide!$H38)</f>
        <v>10.688001064072139</v>
      </c>
      <c r="CA9">
        <f>PnL(($D$7*(1+CA$2)),$E9,(RiskSlide!$A$7),($G9+CA$3),((RiskSlide!$A$10)/260),$C9,$B9,RiskSlide!$H38)</f>
        <v>10.727705176320324</v>
      </c>
      <c r="CB9">
        <f>PnL(($D$7*(1+CB$2)),$E9,(RiskSlide!$A$7),($G9+CB$3),((RiskSlide!$A$10)/260),$C9,$B9,RiskSlide!$H38)</f>
        <v>10.760115882895459</v>
      </c>
      <c r="CC9">
        <f>PnL(($D$7*(1+CC$2)),$E9,(RiskSlide!$A$7),($G9+CC$3),((RiskSlide!$A$10)/260),$C9,$B9,RiskSlide!$H38)</f>
        <v>10.865317119189223</v>
      </c>
      <c r="CD9">
        <f>PnL(($D$7*(1+CD$2)),$E9,(RiskSlide!$A$7),($G9+CD$3),((RiskSlide!$A$10)/260),$C9,$B9,RiskSlide!$H38)</f>
        <v>10.875875207510147</v>
      </c>
      <c r="CE9">
        <f>PnL(($D$7*(1+CE$2)),$E9,(RiskSlide!$A$7),($G9+CE$3),((RiskSlide!$A$10)/260),$C9,$B9,RiskSlide!$H38)</f>
        <v>10.638217317246676</v>
      </c>
      <c r="CF9">
        <f>PnL(($D$7*(1+CF$2)),$E9,(RiskSlide!$A$7),($G9+CF$3),((RiskSlide!$A$10)/260),$C9,$B9,RiskSlide!$H38)</f>
        <v>10.847933355246631</v>
      </c>
      <c r="CG9">
        <f>PnL(($D$7*(1+CG$2)),$E9,(RiskSlide!$A$7),($G9+CG$3),((RiskSlide!$A$10)/260),$C9,$B9,RiskSlide!$H38)</f>
        <v>10.87321931475984</v>
      </c>
      <c r="CH9">
        <f>PnL(($D$7*(1+CH$2)),$E9,(RiskSlide!$A$7),($G9+CH$3),((RiskSlide!$A$10)/260),$C9,$B9,RiskSlide!$H38)</f>
        <v>10.874018871832586</v>
      </c>
      <c r="CI9">
        <f>PnL(($D$7*(1+CI$2)),$E9,(RiskSlide!$A$7),($G9+CI$3),((RiskSlide!$A$10)/260),$C9,$B9,RiskSlide!$H38)</f>
        <v>10.874606380746526</v>
      </c>
      <c r="CJ9">
        <f>PnL(($D$7*(1+CJ$2)),$E9,(RiskSlide!$A$7),($G9+CJ$3),((RiskSlide!$A$10)/260),$C9,$B9,RiskSlide!$H38)</f>
        <v>10.875032401487623</v>
      </c>
      <c r="CK9">
        <f>PnL(($D$7*(1+CK$2)),$E9,(RiskSlide!$A$7),($G9+CK$3),((RiskSlide!$A$10)/260),$C9,$B9,RiskSlide!$H38)</f>
        <v>10.875337025903519</v>
      </c>
      <c r="CL9">
        <f>PnL(($D$7*(1+CL$2)),$E9,(RiskSlide!$A$7),($G9+CL$3),((RiskSlide!$A$10)/260),$C9,$B9,RiskSlide!$H38)</f>
        <v>10.875973033697635</v>
      </c>
      <c r="CM9">
        <f>PnL(($D$7*(1+CM$2)),$E9,(RiskSlide!$A$7),($G9+CM$3),((RiskSlide!$A$10)/260),$C9,$B9,RiskSlide!$H38)</f>
        <v>10.875988616441065</v>
      </c>
    </row>
    <row r="10" spans="1:91" x14ac:dyDescent="0.25">
      <c r="A10" t="s">
        <v>5</v>
      </c>
      <c r="B10">
        <v>-8</v>
      </c>
      <c r="C10">
        <v>0</v>
      </c>
      <c r="E10">
        <v>1600</v>
      </c>
      <c r="F10">
        <v>3.5000000000000001E-3</v>
      </c>
      <c r="G10">
        <v>0.34018700000000002</v>
      </c>
      <c r="K10">
        <f>PnL(($D$7*(1+K$2)),$E10,(RiskSlide!$A$7),($G10+K$3),((RiskSlide!$A$10)/260),$C10,$B10,RiskSlide!$H39)</f>
        <v>-13166.555494663782</v>
      </c>
      <c r="L10">
        <f>PnL(($D$7*(1+L$2)),$E10,(RiskSlide!$A$7),($G10+L$3),((RiskSlide!$A$10)/260),$C10,$B10,RiskSlide!$H39)</f>
        <v>-11583.512418565953</v>
      </c>
      <c r="M10">
        <f>PnL(($D$7*(1+M$2)),$E10,(RiskSlide!$A$7),($G10+M$3),((RiskSlide!$A$10)/260),$C10,$B10,RiskSlide!$H39)</f>
        <v>-10317.331063199765</v>
      </c>
      <c r="N10">
        <f>PnL(($D$7*(1+N$2)),$E10,(RiskSlide!$A$7),($G10+N$3),((RiskSlide!$A$10)/260),$C10,$B10,RiskSlide!$H39)</f>
        <v>-10159.080480466457</v>
      </c>
      <c r="O10">
        <f>PnL(($D$7*(1+O$2)),$E10,(RiskSlide!$A$7),($G10+O$3),((RiskSlide!$A$10)/260),$C10,$B10,RiskSlide!$H39)</f>
        <v>-10000.835739267279</v>
      </c>
      <c r="P10">
        <f>PnL(($D$7*(1+P$2)),$E10,(RiskSlide!$A$7),($G10+P$3),((RiskSlide!$A$10)/260),$C10,$B10,RiskSlide!$H39)</f>
        <v>-9842.5971630097247</v>
      </c>
      <c r="Q10">
        <f>PnL(($D$7*(1+Q$2)),$E10,(RiskSlide!$A$7),($G10+Q$3),((RiskSlide!$A$10)/260),$C10,$B10,RiskSlide!$H39)</f>
        <v>-9684.3650937439288</v>
      </c>
      <c r="R10">
        <f>PnL(($D$7*(1+R$2)),$E10,(RiskSlide!$A$7),($G10+R$3),((RiskSlide!$A$10)/260),$C10,$B10,RiskSlide!$H39)</f>
        <v>-8418.7912588272065</v>
      </c>
      <c r="S10">
        <f>PnL(($D$7*(1+S$2)),$E10,(RiskSlide!$A$7),($G10+S$3),((RiskSlide!$A$10)/260),$C10,$B10,RiskSlide!$H39)</f>
        <v>-6837.8530303062344</v>
      </c>
      <c r="T10">
        <f>PnL(($D$7*(1+T$2)),$E10,(RiskSlide!$A$7),($G10+T$3),((RiskSlide!$A$10)/260),$C10,$B10,RiskSlide!$H39)</f>
        <v>-2760.3731789254871</v>
      </c>
      <c r="U10">
        <f>PnL(($D$7*(1+U$2)),$E10,(RiskSlide!$A$7),($G10+U$3),((RiskSlide!$A$10)/260),$C10,$B10,RiskSlide!$H39)</f>
        <v>-1868.0447258783481</v>
      </c>
      <c r="V10">
        <f>PnL(($D$7*(1+V$2)),$E10,(RiskSlide!$A$7),($G10+V$3),((RiskSlide!$A$10)/260),$C10,$B10,RiskSlide!$H39)</f>
        <v>-1256.3567718377037</v>
      </c>
      <c r="W10">
        <f>PnL(($D$7*(1+W$2)),$E10,(RiskSlide!$A$7),($G10+W$3),((RiskSlide!$A$10)/260),$C10,$B10,RiskSlide!$H39)</f>
        <v>-1187.1543064398786</v>
      </c>
      <c r="X10">
        <f>PnL(($D$7*(1+X$2)),$E10,(RiskSlide!$A$7),($G10+X$3),((RiskSlide!$A$10)/260),$C10,$B10,RiskSlide!$H39)</f>
        <v>-1119.6702016213515</v>
      </c>
      <c r="Y10">
        <f>PnL(($D$7*(1+Y$2)),$E10,(RiskSlide!$A$7),($G10+Y$3),((RiskSlide!$A$10)/260),$C10,$B10,RiskSlide!$H39)</f>
        <v>-1053.9358139600829</v>
      </c>
      <c r="Z10">
        <f>PnL(($D$7*(1+Z$2)),$E10,(RiskSlide!$A$7),($G10+Z$3),((RiskSlide!$A$10)/260),$C10,$B10,RiskSlide!$H39)</f>
        <v>-989.98216036187546</v>
      </c>
      <c r="AA10">
        <f>PnL(($D$7*(1+AA$2)),$E10,(RiskSlide!$A$7),($G10+AA$3),((RiskSlide!$A$10)/260),$C10,$B10,RiskSlide!$H39)</f>
        <v>-545.95113286744026</v>
      </c>
      <c r="AB10">
        <f>PnL(($D$7*(1+AB$2)),$E10,(RiskSlide!$A$7),($G10+AB$3),((RiskSlide!$A$10)/260),$C10,$B10,RiskSlide!$H39)</f>
        <v>-171.91733160651879</v>
      </c>
      <c r="AC10">
        <f>PnL(($D$7*(1+AC$2)),$E10,(RiskSlide!$A$7),($G10+AC$3),((RiskSlide!$A$10)/260),$C10,$B10,RiskSlide!$H39)</f>
        <v>-490.30743690025747</v>
      </c>
      <c r="AD10">
        <f>PnL(($D$7*(1+AD$2)),$E10,(RiskSlide!$A$7),($G10+AD$3),((RiskSlide!$A$10)/260),$C10,$B10,RiskSlide!$H39)</f>
        <v>-214.6866980399345</v>
      </c>
      <c r="AE10">
        <f>PnL(($D$7*(1+AE$2)),$E10,(RiskSlide!$A$7),($G10+AE$3),((RiskSlide!$A$10)/260),$C10,$B10,RiskSlide!$H39)</f>
        <v>-75.714173113095029</v>
      </c>
      <c r="AF10">
        <f>PnL(($D$7*(1+AF$2)),$E10,(RiskSlide!$A$7),($G10+AF$3),((RiskSlide!$A$10)/260),$C10,$B10,RiskSlide!$H39)</f>
        <v>-62.914687386263068</v>
      </c>
      <c r="AG10">
        <f>PnL(($D$7*(1+AG$2)),$E10,(RiskSlide!$A$7),($G10+AG$3),((RiskSlide!$A$10)/260),$C10,$B10,RiskSlide!$H39)</f>
        <v>-51.044169520519489</v>
      </c>
      <c r="AH10">
        <f>PnL(($D$7*(1+AH$2)),$E10,(RiskSlide!$A$7),($G10+AH$3),((RiskSlide!$A$10)/260),$C10,$B10,RiskSlide!$H39)</f>
        <v>-40.072244861208617</v>
      </c>
      <c r="AI10">
        <f>PnL(($D$7*(1+AI$2)),$E10,(RiskSlide!$A$7),($G10+AI$3),((RiskSlide!$A$10)/260),$C10,$B10,RiskSlide!$H39)</f>
        <v>-29.967080999188056</v>
      </c>
      <c r="AJ10">
        <f>PnL(($D$7*(1+AJ$2)),$E10,(RiskSlide!$A$7),($G10+AJ$3),((RiskSlide!$A$10)/260),$C10,$B10,RiskSlide!$H39)</f>
        <v>23.902887269557027</v>
      </c>
      <c r="AK10">
        <f>PnL(($D$7*(1+AK$2)),$E10,(RiskSlide!$A$7),($G10+AK$3),((RiskSlide!$A$10)/260),$C10,$B10,RiskSlide!$H39)</f>
        <v>45.684892188374349</v>
      </c>
      <c r="AL10">
        <f>PnL(($D$7*(1+AL$2)),$E10,(RiskSlide!$A$7),($G10+AL$3),((RiskSlide!$A$10)/260),$C10,$B10,RiskSlide!$H39)</f>
        <v>-378.62282930547553</v>
      </c>
      <c r="AM10">
        <f>PnL(($D$7*(1+AM$2)),$E10,(RiskSlide!$A$7),($G10+AM$3),((RiskSlide!$A$10)/260),$C10,$B10,RiskSlide!$H39)</f>
        <v>-149.94939200528634</v>
      </c>
      <c r="AN10">
        <f>PnL(($D$7*(1+AN$2)),$E10,(RiskSlide!$A$7),($G10+AN$3),((RiskSlide!$A$10)/260),$C10,$B10,RiskSlide!$H39)</f>
        <v>-40.119840140287977</v>
      </c>
      <c r="AO10">
        <f>PnL(($D$7*(1+AO$2)),$E10,(RiskSlide!$A$7),($G10+AO$3),((RiskSlide!$A$10)/260),$C10,$B10,RiskSlide!$H39)</f>
        <v>-30.337270558223395</v>
      </c>
      <c r="AP10">
        <f>PnL(($D$7*(1+AP$2)),$E10,(RiskSlide!$A$7),($G10+AP$3),((RiskSlide!$A$10)/260),$C10,$B10,RiskSlide!$H39)</f>
        <v>-21.336749530696153</v>
      </c>
      <c r="AQ10">
        <f>PnL(($D$7*(1+AQ$2)),$E10,(RiskSlide!$A$7),($G10+AQ$3),((RiskSlide!$A$10)/260),$C10,$B10,RiskSlide!$H39)</f>
        <v>-13.08656736314191</v>
      </c>
      <c r="AR10">
        <f>PnL(($D$7*(1+AR$2)),$E10,(RiskSlide!$A$7),($G10+AR$3),((RiskSlide!$A$10)/260),$C10,$B10,RiskSlide!$H39)</f>
        <v>-5.5540068269507969</v>
      </c>
      <c r="AS10">
        <f>PnL(($D$7*(1+AS$2)),$E10,(RiskSlide!$A$7),($G10+AS$3),((RiskSlide!$A$10)/260),$C10,$B10,RiskSlide!$H39)</f>
        <v>33.037597619093795</v>
      </c>
      <c r="AT10">
        <f>PnL(($D$7*(1+AT$2)),$E10,(RiskSlide!$A$7),($G10+AT$3),((RiskSlide!$A$10)/260),$C10,$B10,RiskSlide!$H39)</f>
        <v>47.007170721132276</v>
      </c>
      <c r="AU10">
        <f>PnL(($D$7*(1+AU$2)),$E10,(RiskSlide!$A$7),($G10+AU$3),((RiskSlide!$A$10)/260),$C10,$B10,RiskSlide!$H39)</f>
        <v>-288.1700136926263</v>
      </c>
      <c r="AV10">
        <f>PnL(($D$7*(1+AV$2)),$E10,(RiskSlide!$A$7),($G10+AV$3),((RiskSlide!$A$10)/260),$C10,$B10,RiskSlide!$H39)</f>
        <v>-100.02029372511814</v>
      </c>
      <c r="AW10">
        <f>PnL(($D$7*(1+AW$2)),$E10,(RiskSlide!$A$7),($G10+AW$3),((RiskSlide!$A$10)/260),$C10,$B10,RiskSlide!$H39)</f>
        <v>-14.125504134003819</v>
      </c>
      <c r="AX10">
        <f>PnL(($D$7*(1+AX$2)),$E10,(RiskSlide!$A$7),($G10+AX$3),((RiskSlide!$A$10)/260),$C10,$B10,RiskSlide!$H39)</f>
        <v>-6.7393286808126618</v>
      </c>
      <c r="AY10">
        <f>PnL(($D$7*(1+AY$2)),$E10,(RiskSlide!$A$7),($G10+AY$3),((RiskSlide!$A$10)/260),$C10,$B10,RiskSlide!$H39)</f>
        <v>0</v>
      </c>
      <c r="AZ10">
        <f>PnL(($D$7*(1+AZ$2)),$E10,(RiskSlide!$A$7),($G10+AZ$3),((RiskSlide!$A$10)/260),$C10,$B10,RiskSlide!$H39)</f>
        <v>6.123970442350668</v>
      </c>
      <c r="BA10">
        <f>PnL(($D$7*(1+BA$2)),$E10,(RiskSlide!$A$7),($G10+BA$3),((RiskSlide!$A$10)/260),$C10,$B10,RiskSlide!$H39)</f>
        <v>11.664626682950896</v>
      </c>
      <c r="BB10">
        <f>PnL(($D$7*(1+BB$2)),$E10,(RiskSlide!$A$7),($G10+BB$3),((RiskSlide!$A$10)/260),$C10,$B10,RiskSlide!$H39)</f>
        <v>38.914264712821378</v>
      </c>
      <c r="BC10">
        <f>PnL(($D$7*(1+BC$2)),$E10,(RiskSlide!$A$7),($G10+BC$3),((RiskSlide!$A$10)/260),$C10,$B10,RiskSlide!$H39)</f>
        <v>47.714591620121659</v>
      </c>
      <c r="BD10">
        <f>PnL(($D$7*(1+BD$2)),$E10,(RiskSlide!$A$7),($G10+BD$3),((RiskSlide!$A$10)/260),$C10,$B10,RiskSlide!$H39)</f>
        <v>-215.37758821604527</v>
      </c>
      <c r="BE10">
        <f>PnL(($D$7*(1+BE$2)),$E10,(RiskSlide!$A$7),($G10+BE$3),((RiskSlide!$A$10)/260),$C10,$B10,RiskSlide!$H39)</f>
        <v>-61.830087200755912</v>
      </c>
      <c r="BF10">
        <f>PnL(($D$7*(1+BF$2)),$E10,(RiskSlide!$A$7),($G10+BF$3),((RiskSlide!$A$10)/260),$C10,$B10,RiskSlide!$H39)</f>
        <v>4.6599178188703405</v>
      </c>
      <c r="BG10">
        <f>PnL(($D$7*(1+BG$2)),$E10,(RiskSlide!$A$7),($G10+BG$3),((RiskSlide!$A$10)/260),$C10,$B10,RiskSlide!$H39)</f>
        <v>10.170213935204231</v>
      </c>
      <c r="BH10">
        <f>PnL(($D$7*(1+BH$2)),$E10,(RiskSlide!$A$7),($G10+BH$3),((RiskSlide!$A$10)/260),$C10,$B10,RiskSlide!$H39)</f>
        <v>15.15448278304703</v>
      </c>
      <c r="BI10">
        <f>PnL(($D$7*(1+BI$2)),$E10,(RiskSlide!$A$7),($G10+BI$3),((RiskSlide!$A$10)/260),$C10,$B10,RiskSlide!$H39)</f>
        <v>19.642751417349658</v>
      </c>
      <c r="BJ10">
        <f>PnL(($D$7*(1+BJ$2)),$E10,(RiskSlide!$A$7),($G10+BJ$3),((RiskSlide!$A$10)/260),$C10,$B10,RiskSlide!$H39)</f>
        <v>23.665187349979178</v>
      </c>
      <c r="BK10">
        <f>PnL(($D$7*(1+BK$2)),$E10,(RiskSlide!$A$7),($G10+BK$3),((RiskSlide!$A$10)/260),$C10,$B10,RiskSlide!$H39)</f>
        <v>42.635954049094238</v>
      </c>
      <c r="BL10">
        <f>PnL(($D$7*(1+BL$2)),$E10,(RiskSlide!$A$7),($G10+BL$3),((RiskSlide!$A$10)/260),$C10,$B10,RiskSlide!$H39)</f>
        <v>48.084274278946928</v>
      </c>
      <c r="BM10">
        <f>PnL(($D$7*(1+BM$2)),$E10,(RiskSlide!$A$7),($G10+BM$3),((RiskSlide!$A$10)/260),$C10,$B10,RiskSlide!$H39)</f>
        <v>-157.16600414402322</v>
      </c>
      <c r="BN10">
        <f>PnL(($D$7*(1+BN$2)),$E10,(RiskSlide!$A$7),($G10+BN$3),((RiskSlide!$A$10)/260),$C10,$B10,RiskSlide!$H39)</f>
        <v>-32.857856387236239</v>
      </c>
      <c r="BO10">
        <f>PnL(($D$7*(1+BO$2)),$E10,(RiskSlide!$A$7),($G10+BO$3),((RiskSlide!$A$10)/260),$C10,$B10,RiskSlide!$H39)</f>
        <v>18.095316078501966</v>
      </c>
      <c r="BP10">
        <f>PnL(($D$7*(1+BP$2)),$E10,(RiskSlide!$A$7),($G10+BP$3),((RiskSlide!$A$10)/260),$C10,$B10,RiskSlide!$H39)</f>
        <v>22.1578760931326</v>
      </c>
      <c r="BQ10">
        <f>PnL(($D$7*(1+BQ$2)),$E10,(RiskSlide!$A$7),($G10+BQ$3),((RiskSlide!$A$10)/260),$C10,$B10,RiskSlide!$H39)</f>
        <v>25.79958645079401</v>
      </c>
      <c r="BR10">
        <f>PnL(($D$7*(1+BR$2)),$E10,(RiskSlide!$A$7),($G10+BR$3),((RiskSlide!$A$10)/260),$C10,$B10,RiskSlide!$H39)</f>
        <v>29.048114310670492</v>
      </c>
      <c r="BS10">
        <f>PnL(($D$7*(1+BS$2)),$E10,(RiskSlide!$A$7),($G10+BS$3),((RiskSlide!$A$10)/260),$C10,$B10,RiskSlide!$H39)</f>
        <v>31.930916382525254</v>
      </c>
      <c r="BT10">
        <f>PnL(($D$7*(1+BT$2)),$E10,(RiskSlide!$A$7),($G10+BT$3),((RiskSlide!$A$10)/260),$C10,$B10,RiskSlide!$H39)</f>
        <v>44.956509626251908</v>
      </c>
      <c r="BU10">
        <f>PnL(($D$7*(1+BU$2)),$E10,(RiskSlide!$A$7),($G10+BU$3),((RiskSlide!$A$10)/260),$C10,$B10,RiskSlide!$H39)</f>
        <v>48.273025696569363</v>
      </c>
      <c r="BV10">
        <f>PnL(($D$7*(1+BV$2)),$E10,(RiskSlide!$A$7),($G10+BV$3),((RiskSlide!$A$10)/260),$C10,$B10,RiskSlide!$H39)</f>
        <v>25.489584200773585</v>
      </c>
      <c r="BW10">
        <f>PnL(($D$7*(1+BW$2)),$E10,(RiskSlide!$A$7),($G10+BW$3),((RiskSlide!$A$10)/260),$C10,$B10,RiskSlide!$H39)</f>
        <v>42.981345161831186</v>
      </c>
      <c r="BX10">
        <f>PnL(($D$7*(1+BX$2)),$E10,(RiskSlide!$A$7),($G10+BX$3),((RiskSlide!$A$10)/260),$C10,$B10,RiskSlide!$H39)</f>
        <v>47.292527072803068</v>
      </c>
      <c r="BY10">
        <f>PnL(($D$7*(1+BY$2)),$E10,(RiskSlide!$A$7),($G10+BY$3),((RiskSlide!$A$10)/260),$C10,$B10,RiskSlide!$H39)</f>
        <v>47.529303017727884</v>
      </c>
      <c r="BZ10">
        <f>PnL(($D$7*(1+BZ$2)),$E10,(RiskSlide!$A$7),($G10+BZ$3),((RiskSlide!$A$10)/260),$C10,$B10,RiskSlide!$H39)</f>
        <v>47.724437757868785</v>
      </c>
      <c r="CA10">
        <f>PnL(($D$7*(1+CA$2)),$E10,(RiskSlide!$A$7),($G10+CA$3),((RiskSlide!$A$10)/260),$C10,$B10,RiskSlide!$H39)</f>
        <v>47.883869907815146</v>
      </c>
      <c r="CB10">
        <f>PnL(($D$7*(1+CB$2)),$E10,(RiskSlide!$A$7),($G10+CB$3),((RiskSlide!$A$10)/260),$C10,$B10,RiskSlide!$H39)</f>
        <v>48.01294261566489</v>
      </c>
      <c r="CC10">
        <f>PnL(($D$7*(1+CC$2)),$E10,(RiskSlide!$A$7),($G10+CC$3),((RiskSlide!$A$10)/260),$C10,$B10,RiskSlide!$H39)</f>
        <v>48.417619244789435</v>
      </c>
      <c r="CD10">
        <f>PnL(($D$7*(1+CD$2)),$E10,(RiskSlide!$A$7),($G10+CD$3),((RiskSlide!$A$10)/260),$C10,$B10,RiskSlide!$H39)</f>
        <v>48.453339519672134</v>
      </c>
      <c r="CE10">
        <f>PnL(($D$7*(1+CE$2)),$E10,(RiskSlide!$A$7),($G10+CE$3),((RiskSlide!$A$10)/260),$C10,$B10,RiskSlide!$H39)</f>
        <v>47.52537468124256</v>
      </c>
      <c r="CF10">
        <f>PnL(($D$7*(1+CF$2)),$E10,(RiskSlide!$A$7),($G10+CF$3),((RiskSlide!$A$10)/260),$C10,$B10,RiskSlide!$H39)</f>
        <v>48.35216475376167</v>
      </c>
      <c r="CG10">
        <f>PnL(($D$7*(1+CG$2)),$E10,(RiskSlide!$A$7),($G10+CG$3),((RiskSlide!$A$10)/260),$C10,$B10,RiskSlide!$H39)</f>
        <v>48.444631272419642</v>
      </c>
      <c r="CH10">
        <f>PnL(($D$7*(1+CH$2)),$E10,(RiskSlide!$A$7),($G10+CH$3),((RiskSlide!$A$10)/260),$C10,$B10,RiskSlide!$H39)</f>
        <v>48.447339991269963</v>
      </c>
      <c r="CI10">
        <f>PnL(($D$7*(1+CI$2)),$E10,(RiskSlide!$A$7),($G10+CI$3),((RiskSlide!$A$10)/260),$C10,$B10,RiskSlide!$H39)</f>
        <v>48.44929641539477</v>
      </c>
      <c r="CJ10">
        <f>PnL(($D$7*(1+CJ$2)),$E10,(RiskSlide!$A$7),($G10+CJ$3),((RiskSlide!$A$10)/260),$C10,$B10,RiskSlide!$H39)</f>
        <v>48.45068908776571</v>
      </c>
      <c r="CK10">
        <f>PnL(($D$7*(1+CK$2)),$E10,(RiskSlide!$A$7),($G10+CK$3),((RiskSlide!$A$10)/260),$C10,$B10,RiskSlide!$H39)</f>
        <v>48.451665291639202</v>
      </c>
      <c r="CL10">
        <f>PnL(($D$7*(1+CL$2)),$E10,(RiskSlide!$A$7),($G10+CL$3),((RiskSlide!$A$10)/260),$C10,$B10,RiskSlide!$H39)</f>
        <v>48.453578551551111</v>
      </c>
      <c r="CM10">
        <f>PnL(($D$7*(1+CM$2)),$E10,(RiskSlide!$A$7),($G10+CM$3),((RiskSlide!$A$10)/260),$C10,$B10,RiskSlide!$H39)</f>
        <v>48.453614764802253</v>
      </c>
    </row>
    <row r="11" spans="1:91" x14ac:dyDescent="0.25">
      <c r="A11" t="s">
        <v>6</v>
      </c>
      <c r="B11">
        <v>3</v>
      </c>
      <c r="C11">
        <v>0</v>
      </c>
      <c r="E11">
        <v>1620</v>
      </c>
      <c r="F11">
        <v>3.5000000000000001E-3</v>
      </c>
      <c r="G11">
        <v>0.31315100000000001</v>
      </c>
      <c r="K11">
        <f>PnL(($D$7*(1+K$2)),$E11,(RiskSlide!$A$7),($G11+K$3),((RiskSlide!$A$10)/260),$C11,$B11,RiskSlide!$H40)</f>
        <v>6232.3284496533543</v>
      </c>
      <c r="L11">
        <f>PnL(($D$7*(1+L$2)),$E11,(RiskSlide!$A$7),($G11+L$3),((RiskSlide!$A$10)/260),$C11,$B11,RiskSlide!$H40)</f>
        <v>5647.3445905172612</v>
      </c>
      <c r="M11">
        <f>PnL(($D$7*(1+M$2)),$E11,(RiskSlide!$A$7),($G11+M$3),((RiskSlide!$A$10)/260),$C11,$B11,RiskSlide!$H40)</f>
        <v>5182.1848762918735</v>
      </c>
      <c r="N11">
        <f>PnL(($D$7*(1+N$2)),$E11,(RiskSlide!$A$7),($G11+N$3),((RiskSlide!$A$10)/260),$C11,$B11,RiskSlide!$H40)</f>
        <v>5124.2690690465824</v>
      </c>
      <c r="O11">
        <f>PnL(($D$7*(1+O$2)),$E11,(RiskSlide!$A$7),($G11+O$3),((RiskSlide!$A$10)/260),$C11,$B11,RiskSlide!$H40)</f>
        <v>5066.4122220073777</v>
      </c>
      <c r="P11">
        <f>PnL(($D$7*(1+P$2)),$E11,(RiskSlide!$A$7),($G11+P$3),((RiskSlide!$A$10)/260),$C11,$B11,RiskSlide!$H40)</f>
        <v>5008.6171634830098</v>
      </c>
      <c r="Q11">
        <f>PnL(($D$7*(1+Q$2)),$E11,(RiskSlide!$A$7),($G11+Q$3),((RiskSlide!$A$10)/260),$C11,$B11,RiskSlide!$H40)</f>
        <v>4950.8869025575304</v>
      </c>
      <c r="R11">
        <f>PnL(($D$7*(1+R$2)),$E11,(RiskSlide!$A$7),($G11+R$3),((RiskSlide!$A$10)/260),$C11,$B11,RiskSlide!$H40)</f>
        <v>4491.811304343727</v>
      </c>
      <c r="S11">
        <f>PnL(($D$7*(1+S$2)),$E11,(RiskSlide!$A$7),($G11+S$3),((RiskSlide!$A$10)/260),$C11,$B11,RiskSlide!$H40)</f>
        <v>3927.8631507437717</v>
      </c>
      <c r="T11">
        <f>PnL(($D$7*(1+T$2)),$E11,(RiskSlide!$A$7),($G11+T$3),((RiskSlide!$A$10)/260),$C11,$B11,RiskSlide!$H40)</f>
        <v>1355.4513732381731</v>
      </c>
      <c r="U11">
        <f>PnL(($D$7*(1+U$2)),$E11,(RiskSlide!$A$7),($G11+U$3),((RiskSlide!$A$10)/260),$C11,$B11,RiskSlide!$H40)</f>
        <v>951.26547651808494</v>
      </c>
      <c r="V11">
        <f>PnL(($D$7*(1+V$2)),$E11,(RiskSlide!$A$7),($G11+V$3),((RiskSlide!$A$10)/260),$C11,$B11,RiskSlide!$H40)</f>
        <v>663.48313047324666</v>
      </c>
      <c r="W11">
        <f>PnL(($D$7*(1+W$2)),$E11,(RiskSlide!$A$7),($G11+W$3),((RiskSlide!$A$10)/260),$C11,$B11,RiskSlide!$H40)</f>
        <v>630.15682940447937</v>
      </c>
      <c r="X11">
        <f>PnL(($D$7*(1+X$2)),$E11,(RiskSlide!$A$7),($G11+X$3),((RiskSlide!$A$10)/260),$C11,$B11,RiskSlide!$H40)</f>
        <v>597.47503212719778</v>
      </c>
      <c r="Y11">
        <f>PnL(($D$7*(1+Y$2)),$E11,(RiskSlide!$A$7),($G11+Y$3),((RiskSlide!$A$10)/260),$C11,$B11,RiskSlide!$H40)</f>
        <v>565.45573593536972</v>
      </c>
      <c r="Z11">
        <f>PnL(($D$7*(1+Z$2)),$E11,(RiskSlide!$A$7),($G11+Z$3),((RiskSlide!$A$10)/260),$C11,$B11,RiskSlide!$H40)</f>
        <v>534.11729218409312</v>
      </c>
      <c r="AA11">
        <f>PnL(($D$7*(1+AA$2)),$E11,(RiskSlide!$A$7),($G11+AA$3),((RiskSlide!$A$10)/260),$C11,$B11,RiskSlide!$H40)</f>
        <v>310.21184538352549</v>
      </c>
      <c r="AB11">
        <f>PnL(($D$7*(1+AB$2)),$E11,(RiskSlide!$A$7),($G11+AB$3),((RiskSlide!$A$10)/260),$C11,$B11,RiskSlide!$H40)</f>
        <v>108.13190167353159</v>
      </c>
      <c r="AC11">
        <f>PnL(($D$7*(1+AC$2)),$E11,(RiskSlide!$A$7),($G11+AC$3),((RiskSlide!$A$10)/260),$C11,$B11,RiskSlide!$H40)</f>
        <v>236.76086535298583</v>
      </c>
      <c r="AD11">
        <f>PnL(($D$7*(1+AD$2)),$E11,(RiskSlide!$A$7),($G11+AD$3),((RiskSlide!$A$10)/260),$C11,$B11,RiskSlide!$H40)</f>
        <v>105.87226500905817</v>
      </c>
      <c r="AE11">
        <f>PnL(($D$7*(1+AE$2)),$E11,(RiskSlide!$A$7),($G11+AE$3),((RiskSlide!$A$10)/260),$C11,$B11,RiskSlide!$H40)</f>
        <v>38.159380356079886</v>
      </c>
      <c r="AF11">
        <f>PnL(($D$7*(1+AF$2)),$E11,(RiskSlide!$A$7),($G11+AF$3),((RiskSlide!$A$10)/260),$C11,$B11,RiskSlide!$H40)</f>
        <v>31.847927318023572</v>
      </c>
      <c r="AG11">
        <f>PnL(($D$7*(1+AG$2)),$E11,(RiskSlide!$A$7),($G11+AG$3),((RiskSlide!$A$10)/260),$C11,$B11,RiskSlide!$H40)</f>
        <v>25.982617165096578</v>
      </c>
      <c r="AH11">
        <f>PnL(($D$7*(1+AH$2)),$E11,(RiskSlide!$A$7),($G11+AH$3),((RiskSlide!$A$10)/260),$C11,$B11,RiskSlide!$H40)</f>
        <v>20.551323848561509</v>
      </c>
      <c r="AI11">
        <f>PnL(($D$7*(1+AI$2)),$E11,(RiskSlide!$A$7),($G11+AI$3),((RiskSlide!$A$10)/260),$C11,$B11,RiskSlide!$H40)</f>
        <v>15.541020248847026</v>
      </c>
      <c r="AJ11">
        <f>PnL(($D$7*(1+AJ$2)),$E11,(RiskSlide!$A$7),($G11+AJ$3),((RiskSlide!$A$10)/260),$C11,$B11,RiskSlide!$H40)</f>
        <v>-11.227591277282212</v>
      </c>
      <c r="AK11">
        <f>PnL(($D$7*(1+AK$2)),$E11,(RiskSlide!$A$7),($G11+AK$3),((RiskSlide!$A$10)/260),$C11,$B11,RiskSlide!$H40)</f>
        <v>-21.77412070910697</v>
      </c>
      <c r="AL11">
        <f>PnL(($D$7*(1+AL$2)),$E11,(RiskSlide!$A$7),($G11+AL$3),((RiskSlide!$A$10)/260),$C11,$B11,RiskSlide!$H40)</f>
        <v>181.75741466315588</v>
      </c>
      <c r="AM11">
        <f>PnL(($D$7*(1+AM$2)),$E11,(RiskSlide!$A$7),($G11+AM$3),((RiskSlide!$A$10)/260),$C11,$B11,RiskSlide!$H40)</f>
        <v>73.219852067567899</v>
      </c>
      <c r="AN11">
        <f>PnL(($D$7*(1+AN$2)),$E11,(RiskSlide!$A$7),($G11+AN$3),((RiskSlide!$A$10)/260),$C11,$B11,RiskSlide!$H40)</f>
        <v>19.955118706906738</v>
      </c>
      <c r="AO11">
        <f>PnL(($D$7*(1+AO$2)),$E11,(RiskSlide!$A$7),($G11+AO$3),((RiskSlide!$A$10)/260),$C11,$B11,RiskSlide!$H40)</f>
        <v>15.170339492161844</v>
      </c>
      <c r="AP11">
        <f>PnL(($D$7*(1+AP$2)),$E11,(RiskSlide!$A$7),($G11+AP$3),((RiskSlide!$A$10)/260),$C11,$B11,RiskSlide!$H40)</f>
        <v>10.763272596763329</v>
      </c>
      <c r="AQ11">
        <f>PnL(($D$7*(1+AQ$2)),$E11,(RiskSlide!$A$7),($G11+AQ$3),((RiskSlide!$A$10)/260),$C11,$B11,RiskSlide!$H40)</f>
        <v>6.7203109408001005</v>
      </c>
      <c r="AR11">
        <f>PnL(($D$7*(1+AR$2)),$E11,(RiskSlide!$A$7),($G11+AR$3),((RiskSlide!$A$10)/260),$C11,$B11,RiskSlide!$H40)</f>
        <v>3.0271579979373797</v>
      </c>
      <c r="AS11">
        <f>PnL(($D$7*(1+AS$2)),$E11,(RiskSlide!$A$7),($G11+AS$3),((RiskSlide!$A$10)/260),$C11,$B11,RiskSlide!$H40)</f>
        <v>-15.829468101723299</v>
      </c>
      <c r="AT11">
        <f>PnL(($D$7*(1+AT$2)),$E11,(RiskSlide!$A$7),($G11+AT$3),((RiskSlide!$A$10)/260),$C11,$B11,RiskSlide!$H40)</f>
        <v>-22.359649846546205</v>
      </c>
      <c r="AU11">
        <f>PnL(($D$7*(1+AU$2)),$E11,(RiskSlide!$A$7),($G11+AU$3),((RiskSlide!$A$10)/260),$C11,$B11,RiskSlide!$H40)</f>
        <v>137.36118012748565</v>
      </c>
      <c r="AV11">
        <f>PnL(($D$7*(1+AV$2)),$E11,(RiskSlide!$A$7),($G11+AV$3),((RiskSlide!$A$10)/260),$C11,$B11,RiskSlide!$H40)</f>
        <v>48.223159729596787</v>
      </c>
      <c r="AW11">
        <f>PnL(($D$7*(1+AW$2)),$E11,(RiskSlide!$A$7),($G11+AW$3),((RiskSlide!$A$10)/260),$C11,$B11,RiskSlide!$H40)</f>
        <v>6.8371847617886949</v>
      </c>
      <c r="AX11">
        <f>PnL(($D$7*(1+AX$2)),$E11,(RiskSlide!$A$7),($G11+AX$3),((RiskSlide!$A$10)/260),$C11,$B11,RiskSlide!$H40)</f>
        <v>3.2621075150198742</v>
      </c>
      <c r="AY11">
        <f>PnL(($D$7*(1+AY$2)),$E11,(RiskSlide!$A$7),($G11+AY$3),((RiskSlide!$A$10)/260),$C11,$B11,RiskSlide!$H40)</f>
        <v>0</v>
      </c>
      <c r="AZ11">
        <f>PnL(($D$7*(1+AZ$2)),$E11,(RiskSlide!$A$7),($G11+AZ$3),((RiskSlide!$A$10)/260),$C11,$B11,RiskSlide!$H40)</f>
        <v>-2.9632970352999166</v>
      </c>
      <c r="BA11">
        <f>PnL(($D$7*(1+BA$2)),$E11,(RiskSlide!$A$7),($G11+BA$3),((RiskSlide!$A$10)/260),$C11,$B11,RiskSlide!$H40)</f>
        <v>-5.6423948990557804</v>
      </c>
      <c r="BB11">
        <f>PnL(($D$7*(1+BB$2)),$E11,(RiskSlide!$A$7),($G11+BB$3),((RiskSlide!$A$10)/260),$C11,$B11,RiskSlide!$H40)</f>
        <v>-18.695297171697955</v>
      </c>
      <c r="BC11">
        <f>PnL(($D$7*(1+BC$2)),$E11,(RiskSlide!$A$7),($G11+BC$3),((RiskSlide!$A$10)/260),$C11,$B11,RiskSlide!$H40)</f>
        <v>-22.650910348076717</v>
      </c>
      <c r="BD11">
        <f>PnL(($D$7*(1+BD$2)),$E11,(RiskSlide!$A$7),($G11+BD$3),((RiskSlide!$A$10)/260),$C11,$B11,RiskSlide!$H40)</f>
        <v>101.78650148484766</v>
      </c>
      <c r="BE11">
        <f>PnL(($D$7*(1+BE$2)),$E11,(RiskSlide!$A$7),($G11+BE$3),((RiskSlide!$A$10)/260),$C11,$B11,RiskSlide!$H40)</f>
        <v>29.271110193154115</v>
      </c>
      <c r="BF11">
        <f>PnL(($D$7*(1+BF$2)),$E11,(RiskSlide!$A$7),($G11+BF$3),((RiskSlide!$A$10)/260),$C11,$B11,RiskSlide!$H40)</f>
        <v>-2.4986503913171809</v>
      </c>
      <c r="BG11">
        <f>PnL(($D$7*(1+BG$2)),$E11,(RiskSlide!$A$7),($G11+BG$3),((RiskSlide!$A$10)/260),$C11,$B11,RiskSlide!$H40)</f>
        <v>-5.1319346694004508</v>
      </c>
      <c r="BH11">
        <f>PnL(($D$7*(1+BH$2)),$E11,(RiskSlide!$A$7),($G11+BH$3),((RiskSlide!$A$10)/260),$C11,$B11,RiskSlide!$H40)</f>
        <v>-7.5111723300667954</v>
      </c>
      <c r="BI11">
        <f>PnL(($D$7*(1+BI$2)),$E11,(RiskSlide!$A$7),($G11+BI$3),((RiskSlide!$A$10)/260),$C11,$B11,RiskSlide!$H40)</f>
        <v>-9.650287735603813</v>
      </c>
      <c r="BJ11">
        <f>PnL(($D$7*(1+BJ$2)),$E11,(RiskSlide!$A$7),($G11+BJ$3),((RiskSlide!$A$10)/260),$C11,$B11,RiskSlide!$H40)</f>
        <v>-11.563422819529467</v>
      </c>
      <c r="BK11">
        <f>PnL(($D$7*(1+BK$2)),$E11,(RiskSlide!$A$7),($G11+BK$3),((RiskSlide!$A$10)/260),$C11,$B11,RiskSlide!$H40)</f>
        <v>-20.445780686480941</v>
      </c>
      <c r="BL11">
        <f>PnL(($D$7*(1+BL$2)),$E11,(RiskSlide!$A$7),($G11+BL$3),((RiskSlide!$A$10)/260),$C11,$B11,RiskSlide!$H40)</f>
        <v>-22.791471779920698</v>
      </c>
      <c r="BM11">
        <f>PnL(($D$7*(1+BM$2)),$E11,(RiskSlide!$A$7),($G11+BM$3),((RiskSlide!$A$10)/260),$C11,$B11,RiskSlide!$H40)</f>
        <v>73.485734845760049</v>
      </c>
      <c r="BN11">
        <f>PnL(($D$7*(1+BN$2)),$E11,(RiskSlide!$A$7),($G11+BN$3),((RiskSlide!$A$10)/260),$C11,$B11,RiskSlide!$H40)</f>
        <v>15.038992245927751</v>
      </c>
      <c r="BO11">
        <f>PnL(($D$7*(1+BO$2)),$E11,(RiskSlide!$A$7),($G11+BO$3),((RiskSlide!$A$10)/260),$C11,$B11,RiskSlide!$H40)</f>
        <v>-9.0613402532182086</v>
      </c>
      <c r="BP11">
        <f>PnL(($D$7*(1+BP$2)),$E11,(RiskSlide!$A$7),($G11+BP$3),((RiskSlide!$A$10)/260),$C11,$B11,RiskSlide!$H40)</f>
        <v>-10.973811359738539</v>
      </c>
      <c r="BQ11">
        <f>PnL(($D$7*(1+BQ$2)),$E11,(RiskSlide!$A$7),($G11+BQ$3),((RiskSlide!$A$10)/260),$C11,$B11,RiskSlide!$H40)</f>
        <v>-12.684092209156272</v>
      </c>
      <c r="BR11">
        <f>PnL(($D$7*(1+BR$2)),$E11,(RiskSlide!$A$7),($G11+BR$3),((RiskSlide!$A$10)/260),$C11,$B11,RiskSlide!$H40)</f>
        <v>-14.205266869331235</v>
      </c>
      <c r="BS11">
        <f>PnL(($D$7*(1+BS$2)),$E11,(RiskSlide!$A$7),($G11+BS$3),((RiskSlide!$A$10)/260),$C11,$B11,RiskSlide!$H40)</f>
        <v>-15.550427821727064</v>
      </c>
      <c r="BT11">
        <f>PnL(($D$7*(1+BT$2)),$E11,(RiskSlide!$A$7),($G11+BT$3),((RiskSlide!$A$10)/260),$C11,$B11,RiskSlide!$H40)</f>
        <v>-21.494688946531284</v>
      </c>
      <c r="BU11">
        <f>PnL(($D$7*(1+BU$2)),$E11,(RiskSlide!$A$7),($G11+BU$3),((RiskSlide!$A$10)/260),$C11,$B11,RiskSlide!$H40)</f>
        <v>-22.857304306400181</v>
      </c>
      <c r="BV11">
        <f>PnL(($D$7*(1+BV$2)),$E11,(RiskSlide!$A$7),($G11+BV$3),((RiskSlide!$A$10)/260),$C11,$B11,RiskSlide!$H40)</f>
        <v>-13.114294039217622</v>
      </c>
      <c r="BW11">
        <f>PnL(($D$7*(1+BW$2)),$E11,(RiskSlide!$A$7),($G11+BW$3),((RiskSlide!$A$10)/260),$C11,$B11,RiskSlide!$H40)</f>
        <v>-20.720232829816677</v>
      </c>
      <c r="BX11">
        <f>PnL(($D$7*(1+BX$2)),$E11,(RiskSlide!$A$7),($G11+BX$3),((RiskSlide!$A$10)/260),$C11,$B11,RiskSlide!$H40)</f>
        <v>-22.491543919603561</v>
      </c>
      <c r="BY11">
        <f>PnL(($D$7*(1+BY$2)),$E11,(RiskSlide!$A$7),($G11+BY$3),((RiskSlide!$A$10)/260),$C11,$B11,RiskSlide!$H40)</f>
        <v>-22.582995833799064</v>
      </c>
      <c r="BZ11">
        <f>PnL(($D$7*(1+BZ$2)),$E11,(RiskSlide!$A$7),($G11+BZ$3),((RiskSlide!$A$10)/260),$C11,$B11,RiskSlide!$H40)</f>
        <v>-22.657172485630408</v>
      </c>
      <c r="CA11">
        <f>PnL(($D$7*(1+CA$2)),$E11,(RiskSlide!$A$7),($G11+CA$3),((RiskSlide!$A$10)/260),$C11,$B11,RiskSlide!$H40)</f>
        <v>-22.71672780867334</v>
      </c>
      <c r="CB11">
        <f>PnL(($D$7*(1+CB$2)),$E11,(RiskSlide!$A$7),($G11+CB$3),((RiskSlide!$A$10)/260),$C11,$B11,RiskSlide!$H40)</f>
        <v>-22.764027882510451</v>
      </c>
      <c r="CC11">
        <f>PnL(($D$7*(1+CC$2)),$E11,(RiskSlide!$A$7),($G11+CC$3),((RiskSlide!$A$10)/260),$C11,$B11,RiskSlide!$H40)</f>
        <v>-22.901073632945081</v>
      </c>
      <c r="CD11">
        <f>PnL(($D$7*(1+CD$2)),$E11,(RiskSlide!$A$7),($G11+CD$3),((RiskSlide!$A$10)/260),$C11,$B11,RiskSlide!$H40)</f>
        <v>-22.910020954449902</v>
      </c>
      <c r="CE11">
        <f>PnL(($D$7*(1+CE$2)),$E11,(RiskSlide!$A$7),($G11+CE$3),((RiskSlide!$A$10)/260),$C11,$B11,RiskSlide!$H40)</f>
        <v>-22.582541128102896</v>
      </c>
      <c r="CF11">
        <f>PnL(($D$7*(1+CF$2)),$E11,(RiskSlide!$A$7),($G11+CF$3),((RiskSlide!$A$10)/260),$C11,$B11,RiskSlide!$H40)</f>
        <v>-22.879961361789096</v>
      </c>
      <c r="CG11">
        <f>PnL(($D$7*(1+CG$2)),$E11,(RiskSlide!$A$7),($G11+CG$3),((RiskSlide!$A$10)/260),$C11,$B11,RiskSlide!$H40)</f>
        <v>-22.907981774234056</v>
      </c>
      <c r="CH11">
        <f>PnL(($D$7*(1+CH$2)),$E11,(RiskSlide!$A$7),($G11+CH$3),((RiskSlide!$A$10)/260),$C11,$B11,RiskSlide!$H40)</f>
        <v>-22.908666391306571</v>
      </c>
      <c r="CI11">
        <f>PnL(($D$7*(1+CI$2)),$E11,(RiskSlide!$A$7),($G11+CI$3),((RiskSlide!$A$10)/260),$C11,$B11,RiskSlide!$H40)</f>
        <v>-22.909141093537958</v>
      </c>
      <c r="CJ11">
        <f>PnL(($D$7*(1+CJ$2)),$E11,(RiskSlide!$A$7),($G11+CJ$3),((RiskSlide!$A$10)/260),$C11,$B11,RiskSlide!$H40)</f>
        <v>-22.909464440866433</v>
      </c>
      <c r="CK11">
        <f>PnL(($D$7*(1+CK$2)),$E11,(RiskSlide!$A$7),($G11+CK$3),((RiskSlide!$A$10)/260),$C11,$B11,RiskSlide!$H40)</f>
        <v>-22.909680555374734</v>
      </c>
      <c r="CL11">
        <f>PnL(($D$7*(1+CL$2)),$E11,(RiskSlide!$A$7),($G11+CL$3),((RiskSlide!$A$10)/260),$C11,$B11,RiskSlide!$H40)</f>
        <v>-22.910047367906529</v>
      </c>
      <c r="CM11">
        <f>PnL(($D$7*(1+CM$2)),$E11,(RiskSlide!$A$7),($G11+CM$3),((RiskSlide!$A$10)/260),$C11,$B11,RiskSlide!$H40)</f>
        <v>-22.910051080104687</v>
      </c>
    </row>
    <row r="12" spans="1:91" x14ac:dyDescent="0.25">
      <c r="A12" t="s">
        <v>7</v>
      </c>
      <c r="B12">
        <v>1</v>
      </c>
      <c r="C12">
        <v>0</v>
      </c>
      <c r="E12">
        <v>1630</v>
      </c>
      <c r="F12">
        <v>3.5000000000000001E-3</v>
      </c>
      <c r="G12">
        <v>0.299655</v>
      </c>
      <c r="K12">
        <f>PnL(($D$7*(1+K$2)),$E12,(RiskSlide!$A$7),($G12+K$3),((RiskSlide!$A$10)/260),$C12,$B12,RiskSlide!$H41)</f>
        <v>2330.703534684289</v>
      </c>
      <c r="L12">
        <f>PnL(($D$7*(1+L$2)),$E12,(RiskSlide!$A$7),($G12+L$3),((RiskSlide!$A$10)/260),$C12,$B12,RiskSlide!$H41)</f>
        <v>2142.6339841946624</v>
      </c>
      <c r="M12">
        <f>PnL(($D$7*(1+M$2)),$E12,(RiskSlide!$A$7),($G12+M$3),((RiskSlide!$A$10)/260),$C12,$B12,RiskSlide!$H41)</f>
        <v>1994.8236032206178</v>
      </c>
      <c r="N12">
        <f>PnL(($D$7*(1+N$2)),$E12,(RiskSlide!$A$7),($G12+N$3),((RiskSlide!$A$10)/260),$C12,$B12,RiskSlide!$H41)</f>
        <v>1976.5615724558297</v>
      </c>
      <c r="O12">
        <f>PnL(($D$7*(1+O$2)),$E12,(RiskSlide!$A$7),($G12+O$3),((RiskSlide!$A$10)/260),$C12,$B12,RiskSlide!$H41)</f>
        <v>1958.3546479893694</v>
      </c>
      <c r="P12">
        <f>PnL(($D$7*(1+P$2)),$E12,(RiskSlide!$A$7),($G12+P$3),((RiskSlide!$A$10)/260),$C12,$B12,RiskSlide!$H41)</f>
        <v>1940.2054630371704</v>
      </c>
      <c r="Q12">
        <f>PnL(($D$7*(1+Q$2)),$E12,(RiskSlide!$A$7),($G12+Q$3),((RiskSlide!$A$10)/260),$C12,$B12,RiskSlide!$H41)</f>
        <v>1922.1168171969675</v>
      </c>
      <c r="R12">
        <f>PnL(($D$7*(1+R$2)),$E12,(RiskSlide!$A$7),($G12+R$3),((RiskSlide!$A$10)/260),$C12,$B12,RiskSlide!$H41)</f>
        <v>1779.9894657218938</v>
      </c>
      <c r="S12">
        <f>PnL(($D$7*(1+S$2)),$E12,(RiskSlide!$A$7),($G12+S$3),((RiskSlide!$A$10)/260),$C12,$B12,RiskSlide!$H41)</f>
        <v>1611.5215268906122</v>
      </c>
      <c r="T12">
        <f>PnL(($D$7*(1+T$2)),$E12,(RiskSlide!$A$7),($G12+T$3),((RiskSlide!$A$10)/260),$C12,$B12,RiskSlide!$H41)</f>
        <v>518.94157646672988</v>
      </c>
      <c r="U12">
        <f>PnL(($D$7*(1+U$2)),$E12,(RiskSlide!$A$7),($G12+U$3),((RiskSlide!$A$10)/260),$C12,$B12,RiskSlide!$H41)</f>
        <v>371.64680259972693</v>
      </c>
      <c r="V12">
        <f>PnL(($D$7*(1+V$2)),$E12,(RiskSlide!$A$7),($G12+V$3),((RiskSlide!$A$10)/260),$C12,$B12,RiskSlide!$H41)</f>
        <v>264.66085667260552</v>
      </c>
      <c r="W12">
        <f>PnL(($D$7*(1+W$2)),$E12,(RiskSlide!$A$7),($G12+W$3),((RiskSlide!$A$10)/260),$C12,$B12,RiskSlide!$H41)</f>
        <v>252.11536679568633</v>
      </c>
      <c r="X12">
        <f>PnL(($D$7*(1+X$2)),$E12,(RiskSlide!$A$7),($G12+X$3),((RiskSlide!$A$10)/260),$C12,$B12,RiskSlide!$H41)</f>
        <v>239.77460358556436</v>
      </c>
      <c r="Y12">
        <f>PnL(($D$7*(1+Y$2)),$E12,(RiskSlide!$A$7),($G12+Y$3),((RiskSlide!$A$10)/260),$C12,$B12,RiskSlide!$H41)</f>
        <v>227.64539355263162</v>
      </c>
      <c r="Z12">
        <f>PnL(($D$7*(1+Z$2)),$E12,(RiskSlide!$A$7),($G12+Z$3),((RiskSlide!$A$10)/260),$C12,$B12,RiskSlide!$H41)</f>
        <v>215.73478375984189</v>
      </c>
      <c r="AA12">
        <f>PnL(($D$7*(1+AA$2)),$E12,(RiskSlide!$A$7),($G12+AA$3),((RiskSlide!$A$10)/260),$C12,$B12,RiskSlide!$H41)</f>
        <v>129.23591007310728</v>
      </c>
      <c r="AB12">
        <f>PnL(($D$7*(1+AB$2)),$E12,(RiskSlide!$A$7),($G12+AB$3),((RiskSlide!$A$10)/260),$C12,$B12,RiskSlide!$H41)</f>
        <v>47.871191243825351</v>
      </c>
      <c r="AC12">
        <f>PnL(($D$7*(1+AC$2)),$E12,(RiskSlide!$A$7),($G12+AC$3),((RiskSlide!$A$10)/260),$C12,$B12,RiskSlide!$H41)</f>
        <v>90.079485606766596</v>
      </c>
      <c r="AD12">
        <f>PnL(($D$7*(1+AD$2)),$E12,(RiskSlide!$A$7),($G12+AD$3),((RiskSlide!$A$10)/260),$C12,$B12,RiskSlide!$H41)</f>
        <v>40.800251634422935</v>
      </c>
      <c r="AE12">
        <f>PnL(($D$7*(1+AE$2)),$E12,(RiskSlide!$A$7),($G12+AE$3),((RiskSlide!$A$10)/260),$C12,$B12,RiskSlide!$H41)</f>
        <v>14.90568324022199</v>
      </c>
      <c r="AF12">
        <f>PnL(($D$7*(1+AF$2)),$E12,(RiskSlide!$A$7),($G12+AF$3),((RiskSlide!$A$10)/260),$C12,$B12,RiskSlide!$H41)</f>
        <v>12.473155358789967</v>
      </c>
      <c r="AG12">
        <f>PnL(($D$7*(1+AG$2)),$E12,(RiskSlide!$A$7),($G12+AG$3),((RiskSlide!$A$10)/260),$C12,$B12,RiskSlide!$H41)</f>
        <v>10.209322993706671</v>
      </c>
      <c r="AH12">
        <f>PnL(($D$7*(1+AH$2)),$E12,(RiskSlide!$A$7),($G12+AH$3),((RiskSlide!$A$10)/260),$C12,$B12,RiskSlide!$H41)</f>
        <v>8.110179124334671</v>
      </c>
      <c r="AI12">
        <f>PnL(($D$7*(1+AI$2)),$E12,(RiskSlide!$A$7),($G12+AI$3),((RiskSlide!$A$10)/260),$C12,$B12,RiskSlide!$H41)</f>
        <v>6.1713387617817972</v>
      </c>
      <c r="AJ12">
        <f>PnL(($D$7*(1+AJ$2)),$E12,(RiskSlide!$A$7),($G12+AJ$3),((RiskSlide!$A$10)/260),$C12,$B12,RiskSlide!$H41)</f>
        <v>-4.2165409447616042</v>
      </c>
      <c r="AK12">
        <f>PnL(($D$7*(1+AK$2)),$E12,(RiskSlide!$A$7),($G12+AK$3),((RiskSlide!$A$10)/260),$C12,$B12,RiskSlide!$H41)</f>
        <v>-8.2654712686542116</v>
      </c>
      <c r="AL12">
        <f>PnL(($D$7*(1+AL$2)),$E12,(RiskSlide!$A$7),($G12+AL$3),((RiskSlide!$A$10)/260),$C12,$B12,RiskSlide!$H41)</f>
        <v>68.948127044901142</v>
      </c>
      <c r="AM12">
        <f>PnL(($D$7*(1+AM$2)),$E12,(RiskSlide!$A$7),($G12+AM$3),((RiskSlide!$A$10)/260),$C12,$B12,RiskSlide!$H41)</f>
        <v>28.071628796622505</v>
      </c>
      <c r="AN12">
        <f>PnL(($D$7*(1+AN$2)),$E12,(RiskSlide!$A$7),($G12+AN$3),((RiskSlide!$A$10)/260),$C12,$B12,RiskSlide!$H41)</f>
        <v>7.7402903210966656</v>
      </c>
      <c r="AO12">
        <f>PnL(($D$7*(1+AO$2)),$E12,(RiskSlide!$A$7),($G12+AO$3),((RiskSlide!$A$10)/260),$C12,$B12,RiskSlide!$H41)</f>
        <v>5.9030495343794342</v>
      </c>
      <c r="AP12">
        <f>PnL(($D$7*(1+AP$2)),$E12,(RiskSlide!$A$7),($G12+AP$3),((RiskSlide!$A$10)/260),$C12,$B12,RiskSlide!$H41)</f>
        <v>4.2092967528802205</v>
      </c>
      <c r="AQ12">
        <f>PnL(($D$7*(1+AQ$2)),$E12,(RiskSlide!$A$7),($G12+AQ$3),((RiskSlide!$A$10)/260),$C12,$B12,RiskSlide!$H41)</f>
        <v>2.6542737879937661</v>
      </c>
      <c r="AR12">
        <f>PnL(($D$7*(1+AR$2)),$E12,(RiskSlide!$A$7),($G12+AR$3),((RiskSlide!$A$10)/260),$C12,$B12,RiskSlide!$H41)</f>
        <v>1.2329191348120716</v>
      </c>
      <c r="AS12">
        <f>PnL(($D$7*(1+AS$2)),$E12,(RiskSlide!$A$7),($G12+AS$3),((RiskSlide!$A$10)/260),$C12,$B12,RiskSlide!$H41)</f>
        <v>-6.0210750388984824</v>
      </c>
      <c r="AT12">
        <f>PnL(($D$7*(1+AT$2)),$E12,(RiskSlide!$A$7),($G12+AT$3),((RiskSlide!$A$10)/260),$C12,$B12,RiskSlide!$H41)</f>
        <v>-8.4793777808263258</v>
      </c>
      <c r="AU12">
        <f>PnL(($D$7*(1+AU$2)),$E12,(RiskSlide!$A$7),($G12+AU$3),((RiskSlide!$A$10)/260),$C12,$B12,RiskSlide!$H41)</f>
        <v>51.916657397453037</v>
      </c>
      <c r="AV12">
        <f>PnL(($D$7*(1+AV$2)),$E12,(RiskSlide!$A$7),($G12+AV$3),((RiskSlide!$A$10)/260),$C12,$B12,RiskSlide!$H41)</f>
        <v>18.36232810817755</v>
      </c>
      <c r="AW12">
        <f>PnL(($D$7*(1+AW$2)),$E12,(RiskSlide!$A$7),($G12+AW$3),((RiskSlide!$A$10)/260),$C12,$B12,RiskSlide!$H41)</f>
        <v>2.6122252100757137</v>
      </c>
      <c r="AX12">
        <f>PnL(($D$7*(1+AX$2)),$E12,(RiskSlide!$A$7),($G12+AX$3),((RiskSlide!$A$10)/260),$C12,$B12,RiskSlide!$H41)</f>
        <v>1.2465330499462191</v>
      </c>
      <c r="AY12">
        <f>PnL(($D$7*(1+AY$2)),$E12,(RiskSlide!$A$7),($G12+AY$3),((RiskSlide!$A$10)/260),$C12,$B12,RiskSlide!$H41)</f>
        <v>0</v>
      </c>
      <c r="AZ12">
        <f>PnL(($D$7*(1+AZ$2)),$E12,(RiskSlide!$A$7),($G12+AZ$3),((RiskSlide!$A$10)/260),$C12,$B12,RiskSlide!$H41)</f>
        <v>-1.1324975319414676</v>
      </c>
      <c r="BA12">
        <f>PnL(($D$7*(1+BA$2)),$E12,(RiskSlide!$A$7),($G12+BA$3),((RiskSlide!$A$10)/260),$C12,$B12,RiskSlide!$H41)</f>
        <v>-2.1562949946726917</v>
      </c>
      <c r="BB12">
        <f>PnL(($D$7*(1+BB$2)),$E12,(RiskSlide!$A$7),($G12+BB$3),((RiskSlide!$A$10)/260),$C12,$B12,RiskSlide!$H41)</f>
        <v>-7.1247630146535235</v>
      </c>
      <c r="BC12">
        <f>PnL(($D$7*(1+BC$2)),$E12,(RiskSlide!$A$7),($G12+BC$3),((RiskSlide!$A$10)/260),$C12,$B12,RiskSlide!$H41)</f>
        <v>-8.5812626455148759</v>
      </c>
      <c r="BD12">
        <f>PnL(($D$7*(1+BD$2)),$E12,(RiskSlide!$A$7),($G12+BD$3),((RiskSlide!$A$10)/260),$C12,$B12,RiskSlide!$H41)</f>
        <v>38.296286658852097</v>
      </c>
      <c r="BE12">
        <f>PnL(($D$7*(1+BE$2)),$E12,(RiskSlide!$A$7),($G12+BE$3),((RiskSlide!$A$10)/260),$C12,$B12,RiskSlide!$H41)</f>
        <v>11.033163739851481</v>
      </c>
      <c r="BF12">
        <f>PnL(($D$7*(1+BF$2)),$E12,(RiskSlide!$A$7),($G12+BF$3),((RiskSlide!$A$10)/260),$C12,$B12,RiskSlide!$H41)</f>
        <v>-1.0081609805770775</v>
      </c>
      <c r="BG12">
        <f>PnL(($D$7*(1+BG$2)),$E12,(RiskSlide!$A$7),($G12+BG$3),((RiskSlide!$A$10)/260),$C12,$B12,RiskSlide!$H41)</f>
        <v>-2.0075283151774315</v>
      </c>
      <c r="BH12">
        <f>PnL(($D$7*(1+BH$2)),$E12,(RiskSlide!$A$7),($G12+BH$3),((RiskSlide!$A$10)/260),$C12,$B12,RiskSlide!$H41)</f>
        <v>-2.9101719228388667</v>
      </c>
      <c r="BI12">
        <f>PnL(($D$7*(1+BI$2)),$E12,(RiskSlide!$A$7),($G12+BI$3),((RiskSlide!$A$10)/260),$C12,$B12,RiskSlide!$H41)</f>
        <v>-3.7212414602305621</v>
      </c>
      <c r="BJ12">
        <f>PnL(($D$7*(1+BJ$2)),$E12,(RiskSlide!$A$7),($G12+BJ$3),((RiskSlide!$A$10)/260),$C12,$B12,RiskSlide!$H41)</f>
        <v>-4.4460033415433031</v>
      </c>
      <c r="BK12">
        <f>PnL(($D$7*(1+BK$2)),$E12,(RiskSlide!$A$7),($G12+BK$3),((RiskSlide!$A$10)/260),$C12,$B12,RiskSlide!$H41)</f>
        <v>-7.7853524016661568</v>
      </c>
      <c r="BL12">
        <f>PnL(($D$7*(1+BL$2)),$E12,(RiskSlide!$A$7),($G12+BL$3),((RiskSlide!$A$10)/260),$C12,$B12,RiskSlide!$H41)</f>
        <v>-8.6281334417023707</v>
      </c>
      <c r="BM12">
        <f>PnL(($D$7*(1+BM$2)),$E12,(RiskSlide!$A$7),($G12+BM$3),((RiskSlide!$A$10)/260),$C12,$B12,RiskSlide!$H41)</f>
        <v>27.487895921490235</v>
      </c>
      <c r="BN12">
        <f>PnL(($D$7*(1+BN$2)),$E12,(RiskSlide!$A$7),($G12+BN$3),((RiskSlide!$A$10)/260),$C12,$B12,RiskSlide!$H41)</f>
        <v>5.5577850890838221</v>
      </c>
      <c r="BO12">
        <f>PnL(($D$7*(1+BO$2)),$E12,(RiskSlide!$A$7),($G12+BO$3),((RiskSlide!$A$10)/260),$C12,$B12,RiskSlide!$H41)</f>
        <v>-3.5298437641102964</v>
      </c>
      <c r="BP12">
        <f>PnL(($D$7*(1+BP$2)),$E12,(RiskSlide!$A$7),($G12+BP$3),((RiskSlide!$A$10)/260),$C12,$B12,RiskSlide!$H41)</f>
        <v>-4.2499361964035032</v>
      </c>
      <c r="BQ12">
        <f>PnL(($D$7*(1+BQ$2)),$E12,(RiskSlide!$A$7),($G12+BQ$3),((RiskSlide!$A$10)/260),$C12,$B12,RiskSlide!$H41)</f>
        <v>-4.8932106050089796</v>
      </c>
      <c r="BR12">
        <f>PnL(($D$7*(1+BR$2)),$E12,(RiskSlide!$A$7),($G12+BR$3),((RiskSlide!$A$10)/260),$C12,$B12,RiskSlide!$H41)</f>
        <v>-5.4645730982171958</v>
      </c>
      <c r="BS12">
        <f>PnL(($D$7*(1+BS$2)),$E12,(RiskSlide!$A$7),($G12+BS$3),((RiskSlide!$A$10)/260),$C12,$B12,RiskSlide!$H41)</f>
        <v>-5.9689587341389849</v>
      </c>
      <c r="BT12">
        <f>PnL(($D$7*(1+BT$2)),$E12,(RiskSlide!$A$7),($G12+BT$3),((RiskSlide!$A$10)/260),$C12,$B12,RiskSlide!$H41)</f>
        <v>-8.172346937434483</v>
      </c>
      <c r="BU12">
        <f>PnL(($D$7*(1+BU$2)),$E12,(RiskSlide!$A$7),($G12+BU$3),((RiskSlide!$A$10)/260),$C12,$B12,RiskSlide!$H41)</f>
        <v>-8.6489666024860252</v>
      </c>
      <c r="BV12">
        <f>PnL(($D$7*(1+BV$2)),$E12,(RiskSlide!$A$7),($G12+BV$3),((RiskSlide!$A$10)/260),$C12,$B12,RiskSlide!$H41)</f>
        <v>-5.1696073522919939</v>
      </c>
      <c r="BW12">
        <f>PnL(($D$7*(1+BW$2)),$E12,(RiskSlide!$A$7),($G12+BW$3),((RiskSlide!$A$10)/260),$C12,$B12,RiskSlide!$H41)</f>
        <v>-7.9092981533351985</v>
      </c>
      <c r="BX12">
        <f>PnL(($D$7*(1+BX$2)),$E12,(RiskSlide!$A$7),($G12+BX$3),((RiskSlide!$A$10)/260),$C12,$B12,RiskSlide!$H41)</f>
        <v>-8.528006809113057</v>
      </c>
      <c r="BY12">
        <f>PnL(($D$7*(1+BY$2)),$E12,(RiskSlide!$A$7),($G12+BY$3),((RiskSlide!$A$10)/260),$C12,$B12,RiskSlide!$H41)</f>
        <v>-8.5588509765615051</v>
      </c>
      <c r="BZ12">
        <f>PnL(($D$7*(1+BZ$2)),$E12,(RiskSlide!$A$7),($G12+BZ$3),((RiskSlide!$A$10)/260),$C12,$B12,RiskSlide!$H41)</f>
        <v>-8.583641302241249</v>
      </c>
      <c r="CA12">
        <f>PnL(($D$7*(1+CA$2)),$E12,(RiskSlide!$A$7),($G12+CA$3),((RiskSlide!$A$10)/260),$C12,$B12,RiskSlide!$H41)</f>
        <v>-8.6033458625198236</v>
      </c>
      <c r="CB12">
        <f>PnL(($D$7*(1+CB$2)),$E12,(RiskSlide!$A$7),($G12+CB$3),((RiskSlide!$A$10)/260),$C12,$B12,RiskSlide!$H41)</f>
        <v>-8.6188231282171124</v>
      </c>
      <c r="CC12">
        <f>PnL(($D$7*(1+CC$2)),$E12,(RiskSlide!$A$7),($G12+CC$3),((RiskSlide!$A$10)/260),$C12,$B12,RiskSlide!$H41)</f>
        <v>-8.6617013488533825</v>
      </c>
      <c r="CD12">
        <f>PnL(($D$7*(1+CD$2)),$E12,(RiskSlide!$A$7),($G12+CD$3),((RiskSlide!$A$10)/260),$C12,$B12,RiskSlide!$H41)</f>
        <v>-8.664045119146131</v>
      </c>
      <c r="CE12">
        <f>PnL(($D$7*(1+CE$2)),$E12,(RiskSlide!$A$7),($G12+CE$3),((RiskSlide!$A$10)/260),$C12,$B12,RiskSlide!$H41)</f>
        <v>-8.5587604477608679</v>
      </c>
      <c r="CF12">
        <f>PnL(($D$7*(1+CF$2)),$E12,(RiskSlide!$A$7),($G12+CF$3),((RiskSlide!$A$10)/260),$C12,$B12,RiskSlide!$H41)</f>
        <v>-8.6552824424669783</v>
      </c>
      <c r="CG12">
        <f>PnL(($D$7*(1+CG$2)),$E12,(RiskSlide!$A$7),($G12+CG$3),((RiskSlide!$A$10)/260),$C12,$B12,RiskSlide!$H41)</f>
        <v>-8.6635294996229142</v>
      </c>
      <c r="CH12">
        <f>PnL(($D$7*(1+CH$2)),$E12,(RiskSlide!$A$7),($G12+CH$3),((RiskSlide!$A$10)/260),$C12,$B12,RiskSlide!$H41)</f>
        <v>-8.6637103709738259</v>
      </c>
      <c r="CI12">
        <f>PnL(($D$7*(1+CI$2)),$E12,(RiskSlide!$A$7),($G12+CI$3),((RiskSlide!$A$10)/260),$C12,$B12,RiskSlide!$H41)</f>
        <v>-8.663832773114617</v>
      </c>
      <c r="CJ12">
        <f>PnL(($D$7*(1+CJ$2)),$E12,(RiskSlide!$A$7),($G12+CJ$3),((RiskSlide!$A$10)/260),$C12,$B12,RiskSlide!$H41)</f>
        <v>-8.6639139803392986</v>
      </c>
      <c r="CK12">
        <f>PnL(($D$7*(1+CK$2)),$E12,(RiskSlide!$A$7),($G12+CK$3),((RiskSlide!$A$10)/260),$C12,$B12,RiskSlide!$H41)</f>
        <v>-8.6639667269349356</v>
      </c>
      <c r="CL12">
        <f>PnL(($D$7*(1+CL$2)),$E12,(RiskSlide!$A$7),($G12+CL$3),((RiskSlide!$A$10)/260),$C12,$B12,RiskSlide!$H41)</f>
        <v>-8.6640492331145271</v>
      </c>
      <c r="CM12">
        <f>PnL(($D$7*(1+CM$2)),$E12,(RiskSlide!$A$7),($G12+CM$3),((RiskSlide!$A$10)/260),$C12,$B12,RiskSlide!$H41)</f>
        <v>-8.6640498026421646</v>
      </c>
    </row>
    <row r="13" spans="1:91" x14ac:dyDescent="0.25">
      <c r="A13" t="s">
        <v>8</v>
      </c>
      <c r="B13">
        <v>3</v>
      </c>
      <c r="C13">
        <v>0</v>
      </c>
      <c r="E13">
        <v>1640</v>
      </c>
      <c r="F13">
        <v>3.5000000000000001E-3</v>
      </c>
      <c r="G13">
        <v>0.28619099999999997</v>
      </c>
      <c r="K13">
        <f>PnL(($D$7*(1+K$2)),$E13,(RiskSlide!$A$7),($G13+K$3),((RiskSlide!$A$10)/260),$C13,$B13,RiskSlide!$H42)</f>
        <v>7833.1211489558227</v>
      </c>
      <c r="L13">
        <f>PnL(($D$7*(1+L$2)),$E13,(RiskSlide!$A$7),($G13+L$3),((RiskSlide!$A$10)/260),$C13,$B13,RiskSlide!$H42)</f>
        <v>7302.0964668541328</v>
      </c>
      <c r="M13">
        <f>PnL(($D$7*(1+M$2)),$E13,(RiskSlide!$A$7),($G13+M$3),((RiskSlide!$A$10)/260),$C13,$B13,RiskSlide!$H42)</f>
        <v>6893.0753827711696</v>
      </c>
      <c r="N13">
        <f>PnL(($D$7*(1+N$2)),$E13,(RiskSlide!$A$7),($G13+N$3),((RiskSlide!$A$10)/260),$C13,$B13,RiskSlide!$H42)</f>
        <v>6843.2213947458567</v>
      </c>
      <c r="O13">
        <f>PnL(($D$7*(1+O$2)),$E13,(RiskSlide!$A$7),($G13+O$3),((RiskSlide!$A$10)/260),$C13,$B13,RiskSlide!$H42)</f>
        <v>6793.6937961650556</v>
      </c>
      <c r="P13">
        <f>PnL(($D$7*(1+P$2)),$E13,(RiskSlide!$A$7),($G13+P$3),((RiskSlide!$A$10)/260),$C13,$B13,RiskSlide!$H42)</f>
        <v>6744.5077062550608</v>
      </c>
      <c r="Q13">
        <f>PnL(($D$7*(1+Q$2)),$E13,(RiskSlide!$A$7),($G13+Q$3),((RiskSlide!$A$10)/260),$C13,$B13,RiskSlide!$H42)</f>
        <v>6695.6791411349659</v>
      </c>
      <c r="R13">
        <f>PnL(($D$7*(1+R$2)),$E13,(RiskSlide!$A$7),($G13+R$3),((RiskSlide!$A$10)/260),$C13,$B13,RiskSlide!$H42)</f>
        <v>6320.1934576126887</v>
      </c>
      <c r="S13">
        <f>PnL(($D$7*(1+S$2)),$E13,(RiskSlide!$A$7),($G13+S$3),((RiskSlide!$A$10)/260),$C13,$B13,RiskSlide!$H42)</f>
        <v>5903.5660480231427</v>
      </c>
      <c r="T13">
        <f>PnL(($D$7*(1+T$2)),$E13,(RiskSlide!$A$7),($G13+T$3),((RiskSlide!$A$10)/260),$C13,$B13,RiskSlide!$H42)</f>
        <v>1792.4997430409235</v>
      </c>
      <c r="U13">
        <f>PnL(($D$7*(1+U$2)),$E13,(RiskSlide!$A$7),($G13+U$3),((RiskSlide!$A$10)/260),$C13,$B13,RiskSlide!$H42)</f>
        <v>1311.8748778787817</v>
      </c>
      <c r="V13">
        <f>PnL(($D$7*(1+V$2)),$E13,(RiskSlide!$A$7),($G13+V$3),((RiskSlide!$A$10)/260),$C13,$B13,RiskSlide!$H42)</f>
        <v>955.65527827720018</v>
      </c>
      <c r="W13">
        <f>PnL(($D$7*(1+W$2)),$E13,(RiskSlide!$A$7),($G13+W$3),((RiskSlide!$A$10)/260),$C13,$B13,RiskSlide!$H42)</f>
        <v>913.34222106338814</v>
      </c>
      <c r="X13">
        <f>PnL(($D$7*(1+X$2)),$E13,(RiskSlide!$A$7),($G13+X$3),((RiskSlide!$A$10)/260),$C13,$B13,RiskSlide!$H42)</f>
        <v>871.58582926832651</v>
      </c>
      <c r="Y13">
        <f>PnL(($D$7*(1+Y$2)),$E13,(RiskSlide!$A$7),($G13+Y$3),((RiskSlide!$A$10)/260),$C13,$B13,RiskSlide!$H42)</f>
        <v>830.40789387704876</v>
      </c>
      <c r="Z13">
        <f>PnL(($D$7*(1+Z$2)),$E13,(RiskSlide!$A$7),($G13+Z$3),((RiskSlide!$A$10)/260),$C13,$B13,RiskSlide!$H42)</f>
        <v>789.83116848777968</v>
      </c>
      <c r="AA13">
        <f>PnL(($D$7*(1+AA$2)),$E13,(RiskSlide!$A$7),($G13+AA$3),((RiskSlide!$A$10)/260),$C13,$B13,RiskSlide!$H42)</f>
        <v>489.93319946127372</v>
      </c>
      <c r="AB13">
        <f>PnL(($D$7*(1+AB$2)),$E13,(RiskSlide!$A$7),($G13+AB$3),((RiskSlide!$A$10)/260),$C13,$B13,RiskSlide!$H42)</f>
        <v>194.49614909123909</v>
      </c>
      <c r="AC13">
        <f>PnL(($D$7*(1+AC$2)),$E13,(RiskSlide!$A$7),($G13+AC$3),((RiskSlide!$A$10)/260),$C13,$B13,RiskSlide!$H42)</f>
        <v>309.78775333811723</v>
      </c>
      <c r="AD13">
        <f>PnL(($D$7*(1+AD$2)),$E13,(RiskSlide!$A$7),($G13+AD$3),((RiskSlide!$A$10)/260),$C13,$B13,RiskSlide!$H42)</f>
        <v>142.38786203848122</v>
      </c>
      <c r="AE13">
        <f>PnL(($D$7*(1+AE$2)),$E13,(RiskSlide!$A$7),($G13+AE$3),((RiskSlide!$A$10)/260),$C13,$B13,RiskSlide!$H42)</f>
        <v>52.844716739634379</v>
      </c>
      <c r="AF13">
        <f>PnL(($D$7*(1+AF$2)),$E13,(RiskSlide!$A$7),($G13+AF$3),((RiskSlide!$A$10)/260),$C13,$B13,RiskSlide!$H42)</f>
        <v>44.354234110584656</v>
      </c>
      <c r="AG13">
        <f>PnL(($D$7*(1+AG$2)),$E13,(RiskSlide!$A$7),($G13+AG$3),((RiskSlide!$A$10)/260),$C13,$B13,RiskSlide!$H42)</f>
        <v>36.438326962703016</v>
      </c>
      <c r="AH13">
        <f>PnL(($D$7*(1+AH$2)),$E13,(RiskSlide!$A$7),($G13+AH$3),((RiskSlide!$A$10)/260),$C13,$B13,RiskSlide!$H42)</f>
        <v>29.085638552943749</v>
      </c>
      <c r="AI13">
        <f>PnL(($D$7*(1+AI$2)),$E13,(RiskSlide!$A$7),($G13+AI$3),((RiskSlide!$A$10)/260),$C13,$B13,RiskSlide!$H42)</f>
        <v>22.283407678509981</v>
      </c>
      <c r="AJ13">
        <f>PnL(($D$7*(1+AJ$2)),$E13,(RiskSlide!$A$7),($G13+AJ$3),((RiskSlide!$A$10)/260),$C13,$B13,RiskSlide!$H42)</f>
        <v>-14.322281970547746</v>
      </c>
      <c r="AK13">
        <f>PnL(($D$7*(1+AK$2)),$E13,(RiskSlide!$A$7),($G13+AK$3),((RiskSlide!$A$10)/260),$C13,$B13,RiskSlide!$H42)</f>
        <v>-28.473557157296312</v>
      </c>
      <c r="AL13">
        <f>PnL(($D$7*(1+AL$2)),$E13,(RiskSlide!$A$7),($G13+AL$3),((RiskSlide!$A$10)/260),$C13,$B13,RiskSlide!$H42)</f>
        <v>236.41876025129918</v>
      </c>
      <c r="AM13">
        <f>PnL(($D$7*(1+AM$2)),$E13,(RiskSlide!$A$7),($G13+AM$3),((RiskSlide!$A$10)/260),$C13,$B13,RiskSlide!$H42)</f>
        <v>97.44979382042338</v>
      </c>
      <c r="AN13">
        <f>PnL(($D$7*(1+AN$2)),$E13,(RiskSlide!$A$7),($G13+AN$3),((RiskSlide!$A$10)/260),$C13,$B13,RiskSlide!$H42)</f>
        <v>27.242261560351722</v>
      </c>
      <c r="AO13">
        <f>PnL(($D$7*(1+AO$2)),$E13,(RiskSlide!$A$7),($G13+AO$3),((RiskSlide!$A$10)/260),$C13,$B13,RiskSlide!$H42)</f>
        <v>20.850972721829386</v>
      </c>
      <c r="AP13">
        <f>PnL(($D$7*(1+AP$2)),$E13,(RiskSlide!$A$7),($G13+AP$3),((RiskSlide!$A$10)/260),$C13,$B13,RiskSlide!$H42)</f>
        <v>14.951535438387786</v>
      </c>
      <c r="AQ13">
        <f>PnL(($D$7*(1+AQ$2)),$E13,(RiskSlide!$A$7),($G13+AQ$3),((RiskSlide!$A$10)/260),$C13,$B13,RiskSlide!$H42)</f>
        <v>9.5293014292929357</v>
      </c>
      <c r="AR13">
        <f>PnL(($D$7*(1+AR$2)),$E13,(RiskSlide!$A$7),($G13+AR$3),((RiskSlide!$A$10)/260),$C13,$B13,RiskSlide!$H42)</f>
        <v>4.5684378705015405</v>
      </c>
      <c r="AS13">
        <f>PnL(($D$7*(1+AS$2)),$E13,(RiskSlide!$A$7),($G13+AS$3),((RiskSlide!$A$10)/260),$C13,$B13,RiskSlide!$H42)</f>
        <v>-20.770089889460721</v>
      </c>
      <c r="AT13">
        <f>PnL(($D$7*(1+AT$2)),$E13,(RiskSlide!$A$7),($G13+AT$3),((RiskSlide!$A$10)/260),$C13,$B13,RiskSlide!$H42)</f>
        <v>-29.182835539124902</v>
      </c>
      <c r="AU13">
        <f>PnL(($D$7*(1+AU$2)),$E13,(RiskSlide!$A$7),($G13+AU$3),((RiskSlide!$A$10)/260),$C13,$B13,RiskSlide!$H42)</f>
        <v>177.35685634172356</v>
      </c>
      <c r="AV13">
        <f>PnL(($D$7*(1+AV$2)),$E13,(RiskSlide!$A$7),($G13+AV$3),((RiskSlide!$A$10)/260),$C13,$B13,RiskSlide!$H42)</f>
        <v>63.288220083032343</v>
      </c>
      <c r="AW13">
        <f>PnL(($D$7*(1+AW$2)),$E13,(RiskSlide!$A$7),($G13+AW$3),((RiskSlide!$A$10)/260),$C13,$B13,RiskSlide!$H42)</f>
        <v>9.0449352698525942</v>
      </c>
      <c r="AX13">
        <f>PnL(($D$7*(1+AX$2)),$E13,(RiskSlide!$A$7),($G13+AX$3),((RiskSlide!$A$10)/260),$C13,$B13,RiskSlide!$H42)</f>
        <v>4.3175183240467874</v>
      </c>
      <c r="AY13">
        <f>PnL(($D$7*(1+AY$2)),$E13,(RiskSlide!$A$7),($G13+AY$3),((RiskSlide!$A$10)/260),$C13,$B13,RiskSlide!$H42)</f>
        <v>0</v>
      </c>
      <c r="AZ13">
        <f>PnL(($D$7*(1+AZ$2)),$E13,(RiskSlide!$A$7),($G13+AZ$3),((RiskSlide!$A$10)/260),$C13,$B13,RiskSlide!$H42)</f>
        <v>-3.9241376559121299</v>
      </c>
      <c r="BA13">
        <f>PnL(($D$7*(1+BA$2)),$E13,(RiskSlide!$A$7),($G13+BA$3),((RiskSlide!$A$10)/260),$C13,$B13,RiskSlide!$H42)</f>
        <v>-7.472288796214599</v>
      </c>
      <c r="BB13">
        <f>PnL(($D$7*(1+BB$2)),$E13,(RiskSlide!$A$7),($G13+BB$3),((RiskSlide!$A$10)/260),$C13,$B13,RiskSlide!$H42)</f>
        <v>-24.63833266788771</v>
      </c>
      <c r="BC13">
        <f>PnL(($D$7*(1+BC$2)),$E13,(RiskSlide!$A$7),($G13+BC$3),((RiskSlide!$A$10)/260),$C13,$B13,RiskSlide!$H42)</f>
        <v>-29.504454463316328</v>
      </c>
      <c r="BD13">
        <f>PnL(($D$7*(1+BD$2)),$E13,(RiskSlide!$A$7),($G13+BD$3),((RiskSlide!$A$10)/260),$C13,$B13,RiskSlide!$H42)</f>
        <v>130.20851167161317</v>
      </c>
      <c r="BE13">
        <f>PnL(($D$7*(1+BE$2)),$E13,(RiskSlide!$A$7),($G13+BE$3),((RiskSlide!$A$10)/260),$C13,$B13,RiskSlide!$H42)</f>
        <v>37.611731698773632</v>
      </c>
      <c r="BF13">
        <f>PnL(($D$7*(1+BF$2)),$E13,(RiskSlide!$A$7),($G13+BF$3),((RiskSlide!$A$10)/260),$C13,$B13,RiskSlide!$H42)</f>
        <v>-3.6973253211477264</v>
      </c>
      <c r="BG13">
        <f>PnL(($D$7*(1+BG$2)),$E13,(RiskSlide!$A$7),($G13+BG$3),((RiskSlide!$A$10)/260),$C13,$B13,RiskSlide!$H42)</f>
        <v>-7.1341429735696238</v>
      </c>
      <c r="BH13">
        <f>PnL(($D$7*(1+BH$2)),$E13,(RiskSlide!$A$7),($G13+BH$3),((RiskSlide!$A$10)/260),$C13,$B13,RiskSlide!$H42)</f>
        <v>-10.237940457580663</v>
      </c>
      <c r="BI13">
        <f>PnL(($D$7*(1+BI$2)),$E13,(RiskSlide!$A$7),($G13+BI$3),((RiskSlide!$A$10)/260),$C13,$B13,RiskSlide!$H42)</f>
        <v>-13.02579660964911</v>
      </c>
      <c r="BJ13">
        <f>PnL(($D$7*(1+BJ$2)),$E13,(RiskSlide!$A$7),($G13+BJ$3),((RiskSlide!$A$10)/260),$C13,$B13,RiskSlide!$H42)</f>
        <v>-15.515323098917211</v>
      </c>
      <c r="BK13">
        <f>PnL(($D$7*(1+BK$2)),$E13,(RiskSlide!$A$7),($G13+BK$3),((RiskSlide!$A$10)/260),$C13,$B13,RiskSlide!$H42)</f>
        <v>-26.903289448999423</v>
      </c>
      <c r="BL13">
        <f>PnL(($D$7*(1+BL$2)),$E13,(RiskSlide!$A$7),($G13+BL$3),((RiskSlide!$A$10)/260),$C13,$B13,RiskSlide!$H42)</f>
        <v>-29.644539422330045</v>
      </c>
      <c r="BM13">
        <f>PnL(($D$7*(1+BM$2)),$E13,(RiskSlide!$A$7),($G13+BM$3),((RiskSlide!$A$10)/260),$C13,$B13,RiskSlide!$H42)</f>
        <v>92.882481924355531</v>
      </c>
      <c r="BN13">
        <f>PnL(($D$7*(1+BN$2)),$E13,(RiskSlide!$A$7),($G13+BN$3),((RiskSlide!$A$10)/260),$C13,$B13,RiskSlide!$H42)</f>
        <v>18.529017917979118</v>
      </c>
      <c r="BO13">
        <f>PnL(($D$7*(1+BO$2)),$E13,(RiskSlide!$A$7),($G13+BO$3),((RiskSlide!$A$10)/260),$C13,$B13,RiskSlide!$H42)</f>
        <v>-12.488455128266818</v>
      </c>
      <c r="BP13">
        <f>PnL(($D$7*(1+BP$2)),$E13,(RiskSlide!$A$7),($G13+BP$3),((RiskSlide!$A$10)/260),$C13,$B13,RiskSlide!$H42)</f>
        <v>-14.944870416891209</v>
      </c>
      <c r="BQ13">
        <f>PnL(($D$7*(1+BQ$2)),$E13,(RiskSlide!$A$7),($G13+BQ$3),((RiskSlide!$A$10)/260),$C13,$B13,RiskSlide!$H42)</f>
        <v>-17.13721004991222</v>
      </c>
      <c r="BR13">
        <f>PnL(($D$7*(1+BR$2)),$E13,(RiskSlide!$A$7),($G13+BR$3),((RiskSlide!$A$10)/260),$C13,$B13,RiskSlide!$H42)</f>
        <v>-19.082035518199625</v>
      </c>
      <c r="BS13">
        <f>PnL(($D$7*(1+BS$2)),$E13,(RiskSlide!$A$7),($G13+BS$3),((RiskSlide!$A$10)/260),$C13,$B13,RiskSlide!$H42)</f>
        <v>-20.796110228719034</v>
      </c>
      <c r="BT13">
        <f>PnL(($D$7*(1+BT$2)),$E13,(RiskSlide!$A$7),($G13+BT$3),((RiskSlide!$A$10)/260),$C13,$B13,RiskSlide!$H42)</f>
        <v>-28.197899163590257</v>
      </c>
      <c r="BU13">
        <f>PnL(($D$7*(1+BU$2)),$E13,(RiskSlide!$A$7),($G13+BU$3),((RiskSlide!$A$10)/260),$C13,$B13,RiskSlide!$H42)</f>
        <v>-29.703171676130751</v>
      </c>
      <c r="BV13">
        <f>PnL(($D$7*(1+BV$2)),$E13,(RiskSlide!$A$7),($G13+BV$3),((RiskSlide!$A$10)/260),$C13,$B13,RiskSlide!$H42)</f>
        <v>-18.48715478450389</v>
      </c>
      <c r="BW13">
        <f>PnL(($D$7*(1+BW$2)),$E13,(RiskSlide!$A$7),($G13+BW$3),((RiskSlide!$A$10)/260),$C13,$B13,RiskSlide!$H42)</f>
        <v>-27.396372562066684</v>
      </c>
      <c r="BX13">
        <f>PnL(($D$7*(1+BX$2)),$E13,(RiskSlide!$A$7),($G13+BX$3),((RiskSlide!$A$10)/260),$C13,$B13,RiskSlide!$H42)</f>
        <v>-29.344355217613575</v>
      </c>
      <c r="BY13">
        <f>PnL(($D$7*(1+BY$2)),$E13,(RiskSlide!$A$7),($G13+BY$3),((RiskSlide!$A$10)/260),$C13,$B13,RiskSlide!$H42)</f>
        <v>-29.437837320537476</v>
      </c>
      <c r="BZ13">
        <f>PnL(($D$7*(1+BZ$2)),$E13,(RiskSlide!$A$7),($G13+BZ$3),((RiskSlide!$A$10)/260),$C13,$B13,RiskSlide!$H42)</f>
        <v>-29.512222633206331</v>
      </c>
      <c r="CA13">
        <f>PnL(($D$7*(1+CA$2)),$E13,(RiskSlide!$A$7),($G13+CA$3),((RiskSlide!$A$10)/260),$C13,$B13,RiskSlide!$H42)</f>
        <v>-29.570696136101404</v>
      </c>
      <c r="CB13">
        <f>PnL(($D$7*(1+CB$2)),$E13,(RiskSlide!$A$7),($G13+CB$3),((RiskSlide!$A$10)/260),$C13,$B13,RiskSlide!$H42)</f>
        <v>-29.616065466148836</v>
      </c>
      <c r="CC13">
        <f>PnL(($D$7*(1+CC$2)),$E13,(RiskSlide!$A$7),($G13+CC$3),((RiskSlide!$A$10)/260),$C13,$B13,RiskSlide!$H42)</f>
        <v>-29.735768307540454</v>
      </c>
      <c r="CD13">
        <f>PnL(($D$7*(1+CD$2)),$E13,(RiskSlide!$A$7),($G13+CD$3),((RiskSlide!$A$10)/260),$C13,$B13,RiskSlide!$H42)</f>
        <v>-29.741128802303379</v>
      </c>
      <c r="CE13">
        <f>PnL(($D$7*(1+CE$2)),$E13,(RiskSlide!$A$7),($G13+CE$3),((RiskSlide!$A$10)/260),$C13,$B13,RiskSlide!$H42)</f>
        <v>-29.43755878244805</v>
      </c>
      <c r="CF13">
        <f>PnL(($D$7*(1+CF$2)),$E13,(RiskSlide!$A$7),($G13+CF$3),((RiskSlide!$A$10)/260),$C13,$B13,RiskSlide!$H42)</f>
        <v>-29.718422704560833</v>
      </c>
      <c r="CG13">
        <f>PnL(($D$7*(1+CG$2)),$E13,(RiskSlide!$A$7),($G13+CG$3),((RiskSlide!$A$10)/260),$C13,$B13,RiskSlide!$H42)</f>
        <v>-29.739990673595248</v>
      </c>
      <c r="CH13">
        <f>PnL(($D$7*(1+CH$2)),$E13,(RiskSlide!$A$7),($G13+CH$3),((RiskSlide!$A$10)/260),$C13,$B13,RiskSlide!$H42)</f>
        <v>-29.74040937065833</v>
      </c>
      <c r="CI13">
        <f>PnL(($D$7*(1+CI$2)),$E13,(RiskSlide!$A$7),($G13+CI$3),((RiskSlide!$A$10)/260),$C13,$B13,RiskSlide!$H42)</f>
        <v>-29.740685039785472</v>
      </c>
      <c r="CJ13">
        <f>PnL(($D$7*(1+CJ$2)),$E13,(RiskSlide!$A$7),($G13+CJ$3),((RiskSlide!$A$10)/260),$C13,$B13,RiskSlide!$H42)</f>
        <v>-29.740862547806326</v>
      </c>
      <c r="CK13">
        <f>PnL(($D$7*(1+CK$2)),$E13,(RiskSlide!$A$7),($G13+CK$3),((RiskSlide!$A$10)/260),$C13,$B13,RiskSlide!$H42)</f>
        <v>-29.740974155281904</v>
      </c>
      <c r="CL13">
        <f>PnL(($D$7*(1+CL$2)),$E13,(RiskSlide!$A$7),($G13+CL$3),((RiskSlide!$A$10)/260),$C13,$B13,RiskSlide!$H42)</f>
        <v>-29.741133867258643</v>
      </c>
      <c r="CM13">
        <f>PnL(($D$7*(1+CM$2)),$E13,(RiskSlide!$A$7),($G13+CM$3),((RiskSlide!$A$10)/260),$C13,$B13,RiskSlide!$H42)</f>
        <v>-29.741134575844583</v>
      </c>
    </row>
    <row r="14" spans="1:91" x14ac:dyDescent="0.25">
      <c r="A14" t="s">
        <v>9</v>
      </c>
      <c r="B14">
        <v>-5</v>
      </c>
      <c r="C14">
        <v>0</v>
      </c>
      <c r="E14">
        <v>1645</v>
      </c>
      <c r="F14">
        <v>3.5000000000000001E-3</v>
      </c>
      <c r="G14">
        <v>0.279474</v>
      </c>
      <c r="K14">
        <f>PnL(($D$7*(1+K$2)),$E14,(RiskSlide!$A$7),($G14+K$3),((RiskSlide!$A$10)/260),$C14,$B14,RiskSlide!$H43)</f>
        <v>-13808.578359813289</v>
      </c>
      <c r="L14">
        <f>PnL(($D$7*(1+L$2)),$E14,(RiskSlide!$A$7),($G14+L$3),((RiskSlide!$A$10)/260),$C14,$B14,RiskSlide!$H43)</f>
        <v>-12959.093083055343</v>
      </c>
      <c r="M14">
        <f>PnL(($D$7*(1+M$2)),$E14,(RiskSlide!$A$7),($G14+M$3),((RiskSlide!$A$10)/260),$C14,$B14,RiskSlide!$H43)</f>
        <v>-12313.939234508844</v>
      </c>
      <c r="N14">
        <f>PnL(($D$7*(1+N$2)),$E14,(RiskSlide!$A$7),($G14+N$3),((RiskSlide!$A$10)/260),$C14,$B14,RiskSlide!$H43)</f>
        <v>-12236.057262109689</v>
      </c>
      <c r="O14">
        <f>PnL(($D$7*(1+O$2)),$E14,(RiskSlide!$A$7),($G14+O$3),((RiskSlide!$A$10)/260),$C14,$B14,RiskSlide!$H43)</f>
        <v>-12158.880592320038</v>
      </c>
      <c r="P14">
        <f>PnL(($D$7*(1+P$2)),$E14,(RiskSlide!$A$7),($G14+P$3),((RiskSlide!$A$10)/260),$C14,$B14,RiskSlide!$H43)</f>
        <v>-12082.44087872027</v>
      </c>
      <c r="Q14">
        <f>PnL(($D$7*(1+Q$2)),$E14,(RiskSlide!$A$7),($G14+Q$3),((RiskSlide!$A$10)/260),$C14,$B14,RiskSlide!$H43)</f>
        <v>-12006.771536404422</v>
      </c>
      <c r="R14">
        <f>PnL(($D$7*(1+R$2)),$E14,(RiskSlide!$A$7),($G14+R$3),((RiskSlide!$A$10)/260),$C14,$B14,RiskSlide!$H43)</f>
        <v>-11433.831489900918</v>
      </c>
      <c r="S14">
        <f>PnL(($D$7*(1+S$2)),$E14,(RiskSlide!$A$7),($G14+S$3),((RiskSlide!$A$10)/260),$C14,$B14,RiskSlide!$H43)</f>
        <v>-10828.257435182713</v>
      </c>
      <c r="T14">
        <f>PnL(($D$7*(1+T$2)),$E14,(RiskSlide!$A$7),($G14+T$3),((RiskSlide!$A$10)/260),$C14,$B14,RiskSlide!$H43)</f>
        <v>-3208.4860531760519</v>
      </c>
      <c r="U14">
        <f>PnL(($D$7*(1+U$2)),$E14,(RiskSlide!$A$7),($G14+U$3),((RiskSlide!$A$10)/260),$C14,$B14,RiskSlide!$H43)</f>
        <v>-2375.0951829275014</v>
      </c>
      <c r="V14">
        <f>PnL(($D$7*(1+V$2)),$E14,(RiskSlide!$A$7),($G14+V$3),((RiskSlide!$A$10)/260),$C14,$B14,RiskSlide!$H43)</f>
        <v>-1751.1786059252961</v>
      </c>
      <c r="W14">
        <f>PnL(($D$7*(1+W$2)),$E14,(RiskSlide!$A$7),($G14+W$3),((RiskSlide!$A$10)/260),$C14,$B14,RiskSlide!$H43)</f>
        <v>-1676.5849601336163</v>
      </c>
      <c r="X14">
        <f>PnL(($D$7*(1+X$2)),$E14,(RiskSlide!$A$7),($G14+X$3),((RiskSlide!$A$10)/260),$C14,$B14,RiskSlide!$H43)</f>
        <v>-1602.8521935915512</v>
      </c>
      <c r="Y14">
        <f>PnL(($D$7*(1+Y$2)),$E14,(RiskSlide!$A$7),($G14+Y$3),((RiskSlide!$A$10)/260),$C14,$B14,RiskSlide!$H43)</f>
        <v>-1530.016616413099</v>
      </c>
      <c r="Z14">
        <f>PnL(($D$7*(1+Z$2)),$E14,(RiskSlide!$A$7),($G14+Z$3),((RiskSlide!$A$10)/260),$C14,$B14,RiskSlide!$H43)</f>
        <v>-1458.1163514747777</v>
      </c>
      <c r="AA14">
        <f>PnL(($D$7*(1+AA$2)),$E14,(RiskSlide!$A$7),($G14+AA$3),((RiskSlide!$A$10)/260),$C14,$B14,RiskSlide!$H43)</f>
        <v>-921.82720940323918</v>
      </c>
      <c r="AB14">
        <f>PnL(($D$7*(1+AB$2)),$E14,(RiskSlide!$A$7),($G14+AB$3),((RiskSlide!$A$10)/260),$C14,$B14,RiskSlide!$H43)</f>
        <v>-380.23086701669848</v>
      </c>
      <c r="AC14">
        <f>PnL(($D$7*(1+AC$2)),$E14,(RiskSlide!$A$7),($G14+AC$3),((RiskSlide!$A$10)/260),$C14,$B14,RiskSlide!$H43)</f>
        <v>-553.74888136154163</v>
      </c>
      <c r="AD14">
        <f>PnL(($D$7*(1+AD$2)),$E14,(RiskSlide!$A$7),($G14+AD$3),((RiskSlide!$A$10)/260),$C14,$B14,RiskSlide!$H43)</f>
        <v>-256.59361539664172</v>
      </c>
      <c r="AE14">
        <f>PnL(($D$7*(1+AE$2)),$E14,(RiskSlide!$A$7),($G14+AE$3),((RiskSlide!$A$10)/260),$C14,$B14,RiskSlide!$H43)</f>
        <v>-96.075512562594952</v>
      </c>
      <c r="AF14">
        <f>PnL(($D$7*(1+AF$2)),$E14,(RiskSlide!$A$7),($G14+AF$3),((RiskSlide!$A$10)/260),$C14,$B14,RiskSlide!$H43)</f>
        <v>-80.77414533272264</v>
      </c>
      <c r="AG14">
        <f>PnL(($D$7*(1+AG$2)),$E14,(RiskSlide!$A$7),($G14+AG$3),((RiskSlide!$A$10)/260),$C14,$B14,RiskSlide!$H43)</f>
        <v>-66.493171628047236</v>
      </c>
      <c r="AH14">
        <f>PnL(($D$7*(1+AH$2)),$E14,(RiskSlide!$A$7),($G14+AH$3),((RiskSlide!$A$10)/260),$C14,$B14,RiskSlide!$H43)</f>
        <v>-53.214704518556921</v>
      </c>
      <c r="AI14">
        <f>PnL(($D$7*(1+AI$2)),$E14,(RiskSlide!$A$7),($G14+AI$3),((RiskSlide!$A$10)/260),$C14,$B14,RiskSlide!$H43)</f>
        <v>-40.918270740228913</v>
      </c>
      <c r="AJ14">
        <f>PnL(($D$7*(1+AJ$2)),$E14,(RiskSlide!$A$7),($G14+AJ$3),((RiskSlide!$A$10)/260),$C14,$B14,RiskSlide!$H43)</f>
        <v>25.447801277485027</v>
      </c>
      <c r="AK14">
        <f>PnL(($D$7*(1+AK$2)),$E14,(RiskSlide!$A$7),($G14+AK$3),((RiskSlide!$A$10)/260),$C14,$B14,RiskSlide!$H43)</f>
        <v>51.031425395527684</v>
      </c>
      <c r="AL14">
        <f>PnL(($D$7*(1+AL$2)),$E14,(RiskSlide!$A$7),($G14+AL$3),((RiskSlide!$A$10)/260),$C14,$B14,RiskSlide!$H43)</f>
        <v>-421.98456351475409</v>
      </c>
      <c r="AM14">
        <f>PnL(($D$7*(1+AM$2)),$E14,(RiskSlide!$A$7),($G14+AM$3),((RiskSlide!$A$10)/260),$C14,$B14,RiskSlide!$H43)</f>
        <v>-175.14076677689783</v>
      </c>
      <c r="AN14">
        <f>PnL(($D$7*(1+AN$2)),$E14,(RiskSlide!$A$7),($G14+AN$3),((RiskSlide!$A$10)/260),$C14,$B14,RiskSlide!$H43)</f>
        <v>-49.34366005358104</v>
      </c>
      <c r="AO14">
        <f>PnL(($D$7*(1+AO$2)),$E14,(RiskSlide!$A$7),($G14+AO$3),((RiskSlide!$A$10)/260),$C14,$B14,RiskSlide!$H43)</f>
        <v>-37.842311698947917</v>
      </c>
      <c r="AP14">
        <f>PnL(($D$7*(1+AP$2)),$E14,(RiskSlide!$A$7),($G14+AP$3),((RiskSlide!$A$10)/260),$C14,$B14,RiskSlide!$H43)</f>
        <v>-27.217947946113874</v>
      </c>
      <c r="AQ14">
        <f>PnL(($D$7*(1+AQ$2)),$E14,(RiskSlide!$A$7),($G14+AQ$3),((RiskSlide!$A$10)/260),$C14,$B14,RiskSlide!$H43)</f>
        <v>-17.446129233381846</v>
      </c>
      <c r="AR14">
        <f>PnL(($D$7*(1+AR$2)),$E14,(RiskSlide!$A$7),($G14+AR$3),((RiskSlide!$A$10)/260),$C14,$B14,RiskSlide!$H43)</f>
        <v>-8.5001756751825752</v>
      </c>
      <c r="AS14">
        <f>PnL(($D$7*(1+AS$2)),$E14,(RiskSlide!$A$7),($G14+AS$3),((RiskSlide!$A$10)/260),$C14,$B14,RiskSlide!$H43)</f>
        <v>37.237984813875528</v>
      </c>
      <c r="AT14">
        <f>PnL(($D$7*(1+AT$2)),$E14,(RiskSlide!$A$7),($G14+AT$3),((RiskSlide!$A$10)/260),$C14,$B14,RiskSlide!$H43)</f>
        <v>52.279147140657237</v>
      </c>
      <c r="AU14">
        <f>PnL(($D$7*(1+AU$2)),$E14,(RiskSlide!$A$7),($G14+AU$3),((RiskSlide!$A$10)/260),$C14,$B14,RiskSlide!$H43)</f>
        <v>-315.96780170455486</v>
      </c>
      <c r="AV14">
        <f>PnL(($D$7*(1+AV$2)),$E14,(RiskSlide!$A$7),($G14+AV$3),((RiskSlide!$A$10)/260),$C14,$B14,RiskSlide!$H43)</f>
        <v>-113.32076864692996</v>
      </c>
      <c r="AW14">
        <f>PnL(($D$7*(1+AW$2)),$E14,(RiskSlide!$A$7),($G14+AW$3),((RiskSlide!$A$10)/260),$C14,$B14,RiskSlide!$H43)</f>
        <v>-16.241621792861594</v>
      </c>
      <c r="AX14">
        <f>PnL(($D$7*(1+AX$2)),$E14,(RiskSlide!$A$7),($G14+AX$3),((RiskSlide!$A$10)/260),$C14,$B14,RiskSlide!$H43)</f>
        <v>-7.7545140203687524</v>
      </c>
      <c r="AY14">
        <f>PnL(($D$7*(1+AY$2)),$E14,(RiskSlide!$A$7),($G14+AY$3),((RiskSlide!$A$10)/260),$C14,$B14,RiskSlide!$H43)</f>
        <v>0</v>
      </c>
      <c r="AZ14">
        <f>PnL(($D$7*(1+AZ$2)),$E14,(RiskSlide!$A$7),($G14+AZ$3),((RiskSlide!$A$10)/260),$C14,$B14,RiskSlide!$H43)</f>
        <v>7.0503053881871836</v>
      </c>
      <c r="BA14">
        <f>PnL(($D$7*(1+BA$2)),$E14,(RiskSlide!$A$7),($G14+BA$3),((RiskSlide!$A$10)/260),$C14,$B14,RiskSlide!$H43)</f>
        <v>13.426491334566748</v>
      </c>
      <c r="BB14">
        <f>PnL(($D$7*(1+BB$2)),$E14,(RiskSlide!$A$7),($G14+BB$3),((RiskSlide!$A$10)/260),$C14,$B14,RiskSlide!$H43)</f>
        <v>44.23998035520826</v>
      </c>
      <c r="BC14">
        <f>PnL(($D$7*(1+BC$2)),$E14,(RiskSlide!$A$7),($G14+BC$3),((RiskSlide!$A$10)/260),$C14,$B14,RiskSlide!$H43)</f>
        <v>52.829789979671887</v>
      </c>
      <c r="BD14">
        <f>PnL(($D$7*(1+BD$2)),$E14,(RiskSlide!$A$7),($G14+BD$3),((RiskSlide!$A$10)/260),$C14,$B14,RiskSlide!$H43)</f>
        <v>-231.40435904653157</v>
      </c>
      <c r="BE14">
        <f>PnL(($D$7*(1+BE$2)),$E14,(RiskSlide!$A$7),($G14+BE$3),((RiskSlide!$A$10)/260),$C14,$B14,RiskSlide!$H43)</f>
        <v>-66.952941143687099</v>
      </c>
      <c r="BF14">
        <f>PnL(($D$7*(1+BF$2)),$E14,(RiskSlide!$A$7),($G14+BF$3),((RiskSlide!$A$10)/260),$C14,$B14,RiskSlide!$H43)</f>
        <v>6.8414284123354818</v>
      </c>
      <c r="BG14">
        <f>PnL(($D$7*(1+BG$2)),$E14,(RiskSlide!$A$7),($G14+BG$3),((RiskSlide!$A$10)/260),$C14,$B14,RiskSlide!$H43)</f>
        <v>12.991592705738242</v>
      </c>
      <c r="BH14">
        <f>PnL(($D$7*(1+BH$2)),$E14,(RiskSlide!$A$7),($G14+BH$3),((RiskSlide!$A$10)/260),$C14,$B14,RiskSlide!$H43)</f>
        <v>18.546040083333271</v>
      </c>
      <c r="BI14">
        <f>PnL(($D$7*(1+BI$2)),$E14,(RiskSlide!$A$7),($G14+BI$3),((RiskSlide!$A$10)/260),$C14,$B14,RiskSlide!$H43)</f>
        <v>23.534635980413832</v>
      </c>
      <c r="BJ14">
        <f>PnL(($D$7*(1+BJ$2)),$E14,(RiskSlide!$A$7),($G14+BJ$3),((RiskSlide!$A$10)/260),$C14,$B14,RiskSlide!$H43)</f>
        <v>27.988325860785146</v>
      </c>
      <c r="BK14">
        <f>PnL(($D$7*(1+BK$2)),$E14,(RiskSlide!$A$7),($G14+BK$3),((RiskSlide!$A$10)/260),$C14,$B14,RiskSlide!$H43)</f>
        <v>48.292374831648722</v>
      </c>
      <c r="BL14">
        <f>PnL(($D$7*(1+BL$2)),$E14,(RiskSlide!$A$7),($G14+BL$3),((RiskSlide!$A$10)/260),$C14,$B14,RiskSlide!$H43)</f>
        <v>53.062465866961411</v>
      </c>
      <c r="BM14">
        <f>PnL(($D$7*(1+BM$2)),$E14,(RiskSlide!$A$7),($G14+BM$3),((RiskSlide!$A$10)/260),$C14,$B14,RiskSlide!$H43)</f>
        <v>-164.53245720714006</v>
      </c>
      <c r="BN14">
        <f>PnL(($D$7*(1+BN$2)),$E14,(RiskSlide!$A$7),($G14+BN$3),((RiskSlide!$A$10)/260),$C14,$B14,RiskSlide!$H43)</f>
        <v>-32.581215338265856</v>
      </c>
      <c r="BO14">
        <f>PnL(($D$7*(1+BO$2)),$E14,(RiskSlide!$A$7),($G14+BO$3),((RiskSlide!$A$10)/260),$C14,$B14,RiskSlide!$H43)</f>
        <v>22.689426432440207</v>
      </c>
      <c r="BP14">
        <f>PnL(($D$7*(1+BP$2)),$E14,(RiskSlide!$A$7),($G14+BP$3),((RiskSlide!$A$10)/260),$C14,$B14,RiskSlide!$H43)</f>
        <v>27.067178211992893</v>
      </c>
      <c r="BQ14">
        <f>PnL(($D$7*(1+BQ$2)),$E14,(RiskSlide!$A$7),($G14+BQ$3),((RiskSlide!$A$10)/260),$C14,$B14,RiskSlide!$H43)</f>
        <v>30.972775994418278</v>
      </c>
      <c r="BR14">
        <f>PnL(($D$7*(1+BR$2)),$E14,(RiskSlide!$A$7),($G14+BR$3),((RiskSlide!$A$10)/260),$C14,$B14,RiskSlide!$H43)</f>
        <v>34.435493027005663</v>
      </c>
      <c r="BS14">
        <f>PnL(($D$7*(1+BS$2)),$E14,(RiskSlide!$A$7),($G14+BS$3),((RiskSlide!$A$10)/260),$C14,$B14,RiskSlide!$H43)</f>
        <v>37.485065502921522</v>
      </c>
      <c r="BT14">
        <f>PnL(($D$7*(1+BT$2)),$E14,(RiskSlide!$A$7),($G14+BT$3),((RiskSlide!$A$10)/260),$C14,$B14,RiskSlide!$H43)</f>
        <v>50.578396209085717</v>
      </c>
      <c r="BU14">
        <f>PnL(($D$7*(1+BU$2)),$E14,(RiskSlide!$A$7),($G14+BU$3),((RiskSlide!$A$10)/260),$C14,$B14,RiskSlide!$H43)</f>
        <v>53.1566420975848</v>
      </c>
      <c r="BV14">
        <f>PnL(($D$7*(1+BV$2)),$E14,(RiskSlide!$A$7),($G14+BV$3),((RiskSlide!$A$10)/260),$C14,$B14,RiskSlide!$H43)</f>
        <v>33.75400826466857</v>
      </c>
      <c r="BW14">
        <f>PnL(($D$7*(1+BW$2)),$E14,(RiskSlide!$A$7),($G14+BW$3),((RiskSlide!$A$10)/260),$C14,$B14,RiskSlide!$H43)</f>
        <v>49.23420834705783</v>
      </c>
      <c r="BX14">
        <f>PnL(($D$7*(1+BX$2)),$E14,(RiskSlide!$A$7),($G14+BX$3),((RiskSlide!$A$10)/260),$C14,$B14,RiskSlide!$H43)</f>
        <v>52.562717582787215</v>
      </c>
      <c r="BY14">
        <f>PnL(($D$7*(1+BY$2)),$E14,(RiskSlide!$A$7),($G14+BY$3),((RiskSlide!$A$10)/260),$C14,$B14,RiskSlide!$H43)</f>
        <v>52.719241617638751</v>
      </c>
      <c r="BZ14">
        <f>PnL(($D$7*(1+BZ$2)),$E14,(RiskSlide!$A$7),($G14+BZ$3),((RiskSlide!$A$10)/260),$C14,$B14,RiskSlide!$H43)</f>
        <v>52.843122868045093</v>
      </c>
      <c r="CA14">
        <f>PnL(($D$7*(1+CA$2)),$E14,(RiskSlide!$A$7),($G14+CA$3),((RiskSlide!$A$10)/260),$C14,$B14,RiskSlide!$H43)</f>
        <v>52.939925450309701</v>
      </c>
      <c r="CB14">
        <f>PnL(($D$7*(1+CB$2)),$E14,(RiskSlide!$A$7),($G14+CB$3),((RiskSlide!$A$10)/260),$C14,$B14,RiskSlide!$H43)</f>
        <v>53.014538503592853</v>
      </c>
      <c r="CC14">
        <f>PnL(($D$7*(1+CC$2)),$E14,(RiskSlide!$A$7),($G14+CC$3),((RiskSlide!$A$10)/260),$C14,$B14,RiskSlide!$H43)</f>
        <v>53.206339705710398</v>
      </c>
      <c r="CD14">
        <f>PnL(($D$7*(1+CD$2)),$E14,(RiskSlide!$A$7),($G14+CD$3),((RiskSlide!$A$10)/260),$C14,$B14,RiskSlide!$H43)</f>
        <v>53.214041972832561</v>
      </c>
      <c r="CE14">
        <f>PnL(($D$7*(1+CE$2)),$E14,(RiskSlide!$A$7),($G14+CE$3),((RiskSlide!$A$10)/260),$C14,$B14,RiskSlide!$H43)</f>
        <v>52.718661121962569</v>
      </c>
      <c r="CF14">
        <f>PnL(($D$7*(1+CF$2)),$E14,(RiskSlide!$A$7),($G14+CF$3),((RiskSlide!$A$10)/260),$C14,$B14,RiskSlide!$H43)</f>
        <v>53.179042829132811</v>
      </c>
      <c r="CG14">
        <f>PnL(($D$7*(1+CG$2)),$E14,(RiskSlide!$A$7),($G14+CG$3),((RiskSlide!$A$10)/260),$C14,$B14,RiskSlide!$H43)</f>
        <v>53.212434965665715</v>
      </c>
      <c r="CH14">
        <f>PnL(($D$7*(1+CH$2)),$E14,(RiskSlide!$A$7),($G14+CH$3),((RiskSlide!$A$10)/260),$C14,$B14,RiskSlide!$H43)</f>
        <v>53.213041206973259</v>
      </c>
      <c r="CI14">
        <f>PnL(($D$7*(1+CI$2)),$E14,(RiskSlide!$A$7),($G14+CI$3),((RiskSlide!$A$10)/260),$C14,$B14,RiskSlide!$H43)</f>
        <v>53.213434374408827</v>
      </c>
      <c r="CJ14">
        <f>PnL(($D$7*(1+CJ$2)),$E14,(RiskSlide!$A$7),($G14+CJ$3),((RiskSlide!$A$10)/260),$C14,$B14,RiskSlide!$H43)</f>
        <v>53.21368340863576</v>
      </c>
      <c r="CK14">
        <f>PnL(($D$7*(1+CK$2)),$E14,(RiskSlide!$A$7),($G14+CK$3),((RiskSlide!$A$10)/260),$C14,$B14,RiskSlide!$H43)</f>
        <v>53.213837200358334</v>
      </c>
      <c r="CL14">
        <f>PnL(($D$7*(1+CL$2)),$E14,(RiskSlide!$A$7),($G14+CL$3),((RiskSlide!$A$10)/260),$C14,$B14,RiskSlide!$H43)</f>
        <v>53.214047073266116</v>
      </c>
      <c r="CM14">
        <f>PnL(($D$7*(1+CM$2)),$E14,(RiskSlide!$A$7),($G14+CM$3),((RiskSlide!$A$10)/260),$C14,$B14,RiskSlide!$H43)</f>
        <v>53.214047800330114</v>
      </c>
    </row>
    <row r="15" spans="1:91" x14ac:dyDescent="0.25">
      <c r="A15" t="s">
        <v>10</v>
      </c>
      <c r="B15">
        <v>-1</v>
      </c>
      <c r="C15">
        <v>1</v>
      </c>
      <c r="E15">
        <v>1650</v>
      </c>
      <c r="F15">
        <v>3.5000000000000001E-3</v>
      </c>
      <c r="G15">
        <v>0.27276899999999998</v>
      </c>
      <c r="K15">
        <f>PnL(($D$7*(1+K$2)),$E15,(RiskSlide!$A$7),($G15+K$3),((RiskSlide!$A$10)/260),$C15,$B15,RiskSlide!$H44)</f>
        <v>5989.78538899878</v>
      </c>
      <c r="L15">
        <f>PnL(($D$7*(1+L$2)),$E15,(RiskSlide!$A$7),($G15+L$3),((RiskSlide!$A$10)/260),$C15,$B15,RiskSlide!$H44)</f>
        <v>6151.5460395122063</v>
      </c>
      <c r="M15">
        <f>PnL(($D$7*(1+M$2)),$E15,(RiskSlide!$A$7),($G15+M$3),((RiskSlide!$A$10)/260),$C15,$B15,RiskSlide!$H44)</f>
        <v>6272.2869330531976</v>
      </c>
      <c r="N15">
        <f>PnL(($D$7*(1+N$2)),$E15,(RiskSlide!$A$7),($G15+N$3),((RiskSlide!$A$10)/260),$C15,$B15,RiskSlide!$H44)</f>
        <v>6286.6892196196231</v>
      </c>
      <c r="O15">
        <f>PnL(($D$7*(1+O$2)),$E15,(RiskSlide!$A$7),($G15+O$3),((RiskSlide!$A$10)/260),$C15,$B15,RiskSlide!$H44)</f>
        <v>6300.9161545021952</v>
      </c>
      <c r="P15">
        <f>PnL(($D$7*(1+P$2)),$E15,(RiskSlide!$A$7),($G15+P$3),((RiskSlide!$A$10)/260),$C15,$B15,RiskSlide!$H44)</f>
        <v>6314.9602271475342</v>
      </c>
      <c r="Q15">
        <f>PnL(($D$7*(1+Q$2)),$E15,(RiskSlide!$A$7),($G15+Q$3),((RiskSlide!$A$10)/260),$C15,$B15,RiskSlide!$H44)</f>
        <v>6328.8135491952489</v>
      </c>
      <c r="R15">
        <f>PnL(($D$7*(1+R$2)),$E15,(RiskSlide!$A$7),($G15+R$3),((RiskSlide!$A$10)/260),$C15,$B15,RiskSlide!$H44)</f>
        <v>6431.6879876745916</v>
      </c>
      <c r="S15">
        <f>PnL(($D$7*(1+S$2)),$E15,(RiskSlide!$A$7),($G15+S$3),((RiskSlide!$A$10)/260),$C15,$B15,RiskSlide!$H44)</f>
        <v>6533.9044958478071</v>
      </c>
      <c r="T15">
        <f>PnL(($D$7*(1+T$2)),$E15,(RiskSlide!$A$7),($G15+T$3),((RiskSlide!$A$10)/260),$C15,$B15,RiskSlide!$H44)</f>
        <v>3765.1009818089051</v>
      </c>
      <c r="U15">
        <f>PnL(($D$7*(1+U$2)),$E15,(RiskSlide!$A$7),($G15+U$3),((RiskSlide!$A$10)/260),$C15,$B15,RiskSlide!$H44)</f>
        <v>3938.1739583025706</v>
      </c>
      <c r="V15">
        <f>PnL(($D$7*(1+V$2)),$E15,(RiskSlide!$A$7),($G15+V$3),((RiskSlide!$A$10)/260),$C15,$B15,RiskSlide!$H44)</f>
        <v>4069.0360828069515</v>
      </c>
      <c r="W15">
        <f>PnL(($D$7*(1+W$2)),$E15,(RiskSlide!$A$7),($G15+W$3),((RiskSlide!$A$10)/260),$C15,$B15,RiskSlide!$H44)</f>
        <v>4084.7829032568143</v>
      </c>
      <c r="X15">
        <f>PnL(($D$7*(1+X$2)),$E15,(RiskSlide!$A$7),($G15+X$3),((RiskSlide!$A$10)/260),$C15,$B15,RiskSlide!$H44)</f>
        <v>4100.3735208063063</v>
      </c>
      <c r="Y15">
        <f>PnL(($D$7*(1+Y$2)),$E15,(RiskSlide!$A$7),($G15+Y$3),((RiskSlide!$A$10)/260),$C15,$B15,RiskSlide!$H44)</f>
        <v>4115.8008614593764</v>
      </c>
      <c r="Z15">
        <f>PnL(($D$7*(1+Z$2)),$E15,(RiskSlide!$A$7),($G15+Z$3),((RiskSlide!$A$10)/260),$C15,$B15,RiskSlide!$H44)</f>
        <v>4131.0574580475186</v>
      </c>
      <c r="AA15">
        <f>PnL(($D$7*(1+AA$2)),$E15,(RiskSlide!$A$7),($G15+AA$3),((RiskSlide!$A$10)/260),$C15,$B15,RiskSlide!$H44)</f>
        <v>4245.9182610485641</v>
      </c>
      <c r="AB15">
        <f>PnL(($D$7*(1+AB$2)),$E15,(RiskSlide!$A$7),($G15+AB$3),((RiskSlide!$A$10)/260),$C15,$B15,RiskSlide!$H44)</f>
        <v>4364.9542335446204</v>
      </c>
      <c r="AC15">
        <f>PnL(($D$7*(1+AC$2)),$E15,(RiskSlide!$A$7),($G15+AC$3),((RiskSlide!$A$10)/260),$C15,$B15,RiskSlide!$H44)</f>
        <v>772.00967489014829</v>
      </c>
      <c r="AD15">
        <f>PnL(($D$7*(1+AD$2)),$E15,(RiskSlide!$A$7),($G15+AD$3),((RiskSlide!$A$10)/260),$C15,$B15,RiskSlide!$H44)</f>
        <v>835.34471475763894</v>
      </c>
      <c r="AE15">
        <f>PnL(($D$7*(1+AE$2)),$E15,(RiskSlide!$A$7),($G15+AE$3),((RiskSlide!$A$10)/260),$C15,$B15,RiskSlide!$H44)</f>
        <v>869.91751574962564</v>
      </c>
      <c r="AF15">
        <f>PnL(($D$7*(1+AF$2)),$E15,(RiskSlide!$A$7),($G15+AF$3),((RiskSlide!$A$10)/260),$C15,$B15,RiskSlide!$H44)</f>
        <v>873.23228844866208</v>
      </c>
      <c r="AG15">
        <f>PnL(($D$7*(1+AG$2)),$E15,(RiskSlide!$A$7),($G15+AG$3),((RiskSlide!$A$10)/260),$C15,$B15,RiskSlide!$H44)</f>
        <v>876.32964977647134</v>
      </c>
      <c r="AH15">
        <f>PnL(($D$7*(1+AH$2)),$E15,(RiskSlide!$A$7),($G15+AH$3),((RiskSlide!$A$10)/260),$C15,$B15,RiskSlide!$H44)</f>
        <v>879.2128853411441</v>
      </c>
      <c r="AI15">
        <f>PnL(($D$7*(1+AI$2)),$E15,(RiskSlide!$A$7),($G15+AI$3),((RiskSlide!$A$10)/260),$C15,$B15,RiskSlide!$H44)</f>
        <v>881.88584894514861</v>
      </c>
      <c r="AJ15">
        <f>PnL(($D$7*(1+AJ$2)),$E15,(RiskSlide!$A$7),($G15+AJ$3),((RiskSlide!$A$10)/260),$C15,$B15,RiskSlide!$H44)</f>
        <v>896.3626895043376</v>
      </c>
      <c r="AK15">
        <f>PnL(($D$7*(1+AK$2)),$E15,(RiskSlide!$A$7),($G15+AK$3),((RiskSlide!$A$10)/260),$C15,$B15,RiskSlide!$H44)</f>
        <v>901.93351327749269</v>
      </c>
      <c r="AL15">
        <f>PnL(($D$7*(1+AL$2)),$E15,(RiskSlide!$A$7),($G15+AL$3),((RiskSlide!$A$10)/260),$C15,$B15,RiskSlide!$H44)</f>
        <v>354.97278218134625</v>
      </c>
      <c r="AM15">
        <f>PnL(($D$7*(1+AM$2)),$E15,(RiskSlide!$A$7),($G15+AM$3),((RiskSlide!$A$10)/260),$C15,$B15,RiskSlide!$H44)</f>
        <v>407.62733650059317</v>
      </c>
      <c r="AN15">
        <f>PnL(($D$7*(1+AN$2)),$E15,(RiskSlide!$A$7),($G15+AN$3),((RiskSlide!$A$10)/260),$C15,$B15,RiskSlide!$H44)</f>
        <v>434.71402277841662</v>
      </c>
      <c r="AO15">
        <f>PnL(($D$7*(1+AO$2)),$E15,(RiskSlide!$A$7),($G15+AO$3),((RiskSlide!$A$10)/260),$C15,$B15,RiskSlide!$H44)</f>
        <v>437.20236334972924</v>
      </c>
      <c r="AP15">
        <f>PnL(($D$7*(1+AP$2)),$E15,(RiskSlide!$A$7),($G15+AP$3),((RiskSlide!$A$10)/260),$C15,$B15,RiskSlide!$H44)</f>
        <v>439.50297852408085</v>
      </c>
      <c r="AQ15">
        <f>PnL(($D$7*(1+AQ$2)),$E15,(RiskSlide!$A$7),($G15+AQ$3),((RiskSlide!$A$10)/260),$C15,$B15,RiskSlide!$H44)</f>
        <v>441.62070862910241</v>
      </c>
      <c r="AR15">
        <f>PnL(($D$7*(1+AR$2)),$E15,(RiskSlide!$A$7),($G15+AR$3),((RiskSlide!$A$10)/260),$C15,$B15,RiskSlide!$H44)</f>
        <v>443.56090041733296</v>
      </c>
      <c r="AS15">
        <f>PnL(($D$7*(1+AS$2)),$E15,(RiskSlide!$A$7),($G15+AS$3),((RiskSlide!$A$10)/260),$C15,$B15,RiskSlide!$H44)</f>
        <v>453.49494731883624</v>
      </c>
      <c r="AT15">
        <f>PnL(($D$7*(1+AT$2)),$E15,(RiskSlide!$A$7),($G15+AT$3),((RiskSlide!$A$10)/260),$C15,$B15,RiskSlide!$H44)</f>
        <v>456.73273831084771</v>
      </c>
      <c r="AU15">
        <f>PnL(($D$7*(1+AU$2)),$E15,(RiskSlide!$A$7),($G15+AU$3),((RiskSlide!$A$10)/260),$C15,$B15,RiskSlide!$H44)</f>
        <v>-67.628699078363752</v>
      </c>
      <c r="AV15">
        <f>PnL(($D$7*(1+AV$2)),$E15,(RiskSlide!$A$7),($G15+AV$3),((RiskSlide!$A$10)/260),$C15,$B15,RiskSlide!$H44)</f>
        <v>-24.388449263642542</v>
      </c>
      <c r="AW15">
        <f>PnL(($D$7*(1+AW$2)),$E15,(RiskSlide!$A$7),($G15+AW$3),((RiskSlide!$A$10)/260),$C15,$B15,RiskSlide!$H44)</f>
        <v>-3.5068852386757499</v>
      </c>
      <c r="AX15">
        <f>PnL(($D$7*(1+AX$2)),$E15,(RiskSlide!$A$7),($G15+AX$3),((RiskSlide!$A$10)/260),$C15,$B15,RiskSlide!$H44)</f>
        <v>-1.6748096972264648</v>
      </c>
      <c r="AY15">
        <f>PnL(($D$7*(1+AY$2)),$E15,(RiskSlide!$A$7),($G15+AY$3),((RiskSlide!$A$10)/260),$C15,$B15,RiskSlide!$H44)</f>
        <v>0</v>
      </c>
      <c r="AZ15">
        <f>PnL(($D$7*(1+AZ$2)),$E15,(RiskSlide!$A$7),($G15+AZ$3),((RiskSlide!$A$10)/260),$C15,$B15,RiskSlide!$H44)</f>
        <v>1.5233691540288419</v>
      </c>
      <c r="BA15">
        <f>PnL(($D$7*(1+BA$2)),$E15,(RiskSlide!$A$7),($G15+BA$3),((RiskSlide!$A$10)/260),$C15,$B15,RiskSlide!$H44)</f>
        <v>2.9015192486781416</v>
      </c>
      <c r="BB15">
        <f>PnL(($D$7*(1+BB$2)),$E15,(RiskSlide!$A$7),($G15+BB$3),((RiskSlide!$A$10)/260),$C15,$B15,RiskSlide!$H44)</f>
        <v>9.5563691683764773</v>
      </c>
      <c r="BC15">
        <f>PnL(($D$7*(1+BC$2)),$E15,(RiskSlide!$A$7),($G15+BC$3),((RiskSlide!$A$10)/260),$C15,$B15,RiskSlide!$H44)</f>
        <v>11.381012733772877</v>
      </c>
      <c r="BD15">
        <f>PnL(($D$7*(1+BD$2)),$E15,(RiskSlide!$A$7),($G15+BD$3),((RiskSlide!$A$10)/260),$C15,$B15,RiskSlide!$H44)</f>
        <v>-494.87024615532391</v>
      </c>
      <c r="BE15">
        <f>PnL(($D$7*(1+BE$2)),$E15,(RiskSlide!$A$7),($G15+BE$3),((RiskSlide!$A$10)/260),$C15,$B15,RiskSlide!$H44)</f>
        <v>-459.78650701459856</v>
      </c>
      <c r="BF15">
        <f>PnL(($D$7*(1+BF$2)),$E15,(RiskSlide!$A$7),($G15+BF$3),((RiskSlide!$A$10)/260),$C15,$B15,RiskSlide!$H44)</f>
        <v>-443.94132905771357</v>
      </c>
      <c r="BG15">
        <f>PnL(($D$7*(1+BG$2)),$E15,(RiskSlide!$A$7),($G15+BG$3),((RiskSlide!$A$10)/260),$C15,$B15,RiskSlide!$H44)</f>
        <v>-442.61794979240676</v>
      </c>
      <c r="BH15">
        <f>PnL(($D$7*(1+BH$2)),$E15,(RiskSlide!$A$7),($G15+BH$3),((RiskSlide!$A$10)/260),$C15,$B15,RiskSlide!$H44)</f>
        <v>-441.42261088060195</v>
      </c>
      <c r="BI15">
        <f>PnL(($D$7*(1+BI$2)),$E15,(RiskSlide!$A$7),($G15+BI$3),((RiskSlide!$A$10)/260),$C15,$B15,RiskSlide!$H44)</f>
        <v>-440.3490576302147</v>
      </c>
      <c r="BJ15">
        <f>PnL(($D$7*(1+BJ$2)),$E15,(RiskSlide!$A$7),($G15+BJ$3),((RiskSlide!$A$10)/260),$C15,$B15,RiskSlide!$H44)</f>
        <v>-439.39077451035473</v>
      </c>
      <c r="BK15">
        <f>PnL(($D$7*(1+BK$2)),$E15,(RiskSlide!$A$7),($G15+BK$3),((RiskSlide!$A$10)/260),$C15,$B15,RiskSlide!$H44)</f>
        <v>-435.03584386472767</v>
      </c>
      <c r="BL15">
        <f>PnL(($D$7*(1+BL$2)),$E15,(RiskSlide!$A$7),($G15+BL$3),((RiskSlide!$A$10)/260),$C15,$B15,RiskSlide!$H44)</f>
        <v>-434.03765768101721</v>
      </c>
      <c r="BM15">
        <f>PnL(($D$7*(1+BM$2)),$E15,(RiskSlide!$A$7),($G15+BM$3),((RiskSlide!$A$10)/260),$C15,$B15,RiskSlide!$H44)</f>
        <v>-925.93959442100413</v>
      </c>
      <c r="BN15">
        <f>PnL(($D$7*(1+BN$2)),$E15,(RiskSlide!$A$7),($G15+BN$3),((RiskSlide!$A$10)/260),$C15,$B15,RiskSlide!$H44)</f>
        <v>-897.80807892315124</v>
      </c>
      <c r="BO15">
        <f>PnL(($D$7*(1+BO$2)),$E15,(RiskSlide!$A$7),($G15+BO$3),((RiskSlide!$A$10)/260),$C15,$B15,RiskSlide!$H44)</f>
        <v>-885.96954177984344</v>
      </c>
      <c r="BP15">
        <f>PnL(($D$7*(1+BP$2)),$E15,(RiskSlide!$A$7),($G15+BP$3),((RiskSlide!$A$10)/260),$C15,$B15,RiskSlide!$H44)</f>
        <v>-885.03141780162196</v>
      </c>
      <c r="BQ15">
        <f>PnL(($D$7*(1+BQ$2)),$E15,(RiskSlide!$A$7),($G15+BQ$3),((RiskSlide!$A$10)/260),$C15,$B15,RiskSlide!$H44)</f>
        <v>-884.19474999458316</v>
      </c>
      <c r="BR15">
        <f>PnL(($D$7*(1+BR$2)),$E15,(RiskSlide!$A$7),($G15+BR$3),((RiskSlide!$A$10)/260),$C15,$B15,RiskSlide!$H44)</f>
        <v>-883.4533318166109</v>
      </c>
      <c r="BS15">
        <f>PnL(($D$7*(1+BS$2)),$E15,(RiskSlide!$A$7),($G15+BS$3),((RiskSlide!$A$10)/260),$C15,$B15,RiskSlide!$H44)</f>
        <v>-882.8008337294591</v>
      </c>
      <c r="BT15">
        <f>PnL(($D$7*(1+BT$2)),$E15,(RiskSlide!$A$7),($G15+BT$3),((RiskSlide!$A$10)/260),$C15,$B15,RiskSlide!$H44)</f>
        <v>-880.01521133477354</v>
      </c>
      <c r="BU15">
        <f>PnL(($D$7*(1+BU$2)),$E15,(RiskSlide!$A$7),($G15+BU$3),((RiskSlide!$A$10)/260),$C15,$B15,RiskSlide!$H44)</f>
        <v>-879.48457166687604</v>
      </c>
      <c r="BV15">
        <f>PnL(($D$7*(1+BV$2)),$E15,(RiskSlide!$A$7),($G15+BV$3),((RiskSlide!$A$10)/260),$C15,$B15,RiskSlide!$H44)</f>
        <v>-4447.2362962499346</v>
      </c>
      <c r="BW15">
        <f>PnL(($D$7*(1+BW$2)),$E15,(RiskSlide!$A$7),($G15+BW$3),((RiskSlide!$A$10)/260),$C15,$B15,RiskSlide!$H44)</f>
        <v>-4444.0053597089218</v>
      </c>
      <c r="BX15">
        <f>PnL(($D$7*(1+BX$2)),$E15,(RiskSlide!$A$7),($G15+BX$3),((RiskSlide!$A$10)/260),$C15,$B15,RiskSlide!$H44)</f>
        <v>-4443.3224457824854</v>
      </c>
      <c r="BY15">
        <f>PnL(($D$7*(1+BY$2)),$E15,(RiskSlide!$A$7),($G15+BY$3),((RiskSlide!$A$10)/260),$C15,$B15,RiskSlide!$H44)</f>
        <v>-4443.2910042860613</v>
      </c>
      <c r="BZ15">
        <f>PnL(($D$7*(1+BZ$2)),$E15,(RiskSlide!$A$7),($G15+BZ$3),((RiskSlide!$A$10)/260),$C15,$B15,RiskSlide!$H44)</f>
        <v>-4443.2662597439048</v>
      </c>
      <c r="CA15">
        <f>PnL(($D$7*(1+CA$2)),$E15,(RiskSlide!$A$7),($G15+CA$3),((RiskSlide!$A$10)/260),$C15,$B15,RiskSlide!$H44)</f>
        <v>-4443.2470448880395</v>
      </c>
      <c r="CB15">
        <f>PnL(($D$7*(1+CB$2)),$E15,(RiskSlide!$A$7),($G15+CB$3),((RiskSlide!$A$10)/260),$C15,$B15,RiskSlide!$H44)</f>
        <v>-4443.2323375282976</v>
      </c>
      <c r="CC15">
        <f>PnL(($D$7*(1+CC$2)),$E15,(RiskSlide!$A$7),($G15+CC$3),((RiskSlide!$A$10)/260),$C15,$B15,RiskSlide!$H44)</f>
        <v>-4443.1955444024425</v>
      </c>
      <c r="CD15">
        <f>PnL(($D$7*(1+CD$2)),$E15,(RiskSlide!$A$7),($G15+CD$3),((RiskSlide!$A$10)/260),$C15,$B15,RiskSlide!$H44)</f>
        <v>-4443.1942286059548</v>
      </c>
      <c r="CE15">
        <f>PnL(($D$7*(1+CE$2)),$E15,(RiskSlide!$A$7),($G15+CE$3),((RiskSlide!$A$10)/260),$C15,$B15,RiskSlide!$H44)</f>
        <v>-8897.941156760884</v>
      </c>
      <c r="CF15">
        <f>PnL(($D$7*(1+CF$2)),$E15,(RiskSlide!$A$7),($G15+CF$3),((RiskSlide!$A$10)/260),$C15,$B15,RiskSlide!$H44)</f>
        <v>-8897.8506804715489</v>
      </c>
      <c r="CG15">
        <f>PnL(($D$7*(1+CG$2)),$E15,(RiskSlide!$A$7),($G15+CG$3),((RiskSlide!$A$10)/260),$C15,$B15,RiskSlide!$H44)</f>
        <v>-8897.8444985006936</v>
      </c>
      <c r="CH15">
        <f>PnL(($D$7*(1+CH$2)),$E15,(RiskSlide!$A$7),($G15+CH$3),((RiskSlide!$A$10)/260),$C15,$B15,RiskSlide!$H44)</f>
        <v>-8897.8443940017205</v>
      </c>
      <c r="CI15">
        <f>PnL(($D$7*(1+CI$2)),$E15,(RiskSlide!$A$7),($G15+CI$3),((RiskSlide!$A$10)/260),$C15,$B15,RiskSlide!$H44)</f>
        <v>-8897.844327313589</v>
      </c>
      <c r="CJ15">
        <f>PnL(($D$7*(1+CJ$2)),$E15,(RiskSlide!$A$7),($G15+CJ$3),((RiskSlide!$A$10)/260),$C15,$B15,RiskSlide!$H44)</f>
        <v>-8897.8442858097078</v>
      </c>
      <c r="CK15">
        <f>PnL(($D$7*(1+CK$2)),$E15,(RiskSlide!$A$7),($G15+CK$3),((RiskSlide!$A$10)/260),$C15,$B15,RiskSlide!$H44)</f>
        <v>-8897.8442606672397</v>
      </c>
      <c r="CL15">
        <f>PnL(($D$7*(1+CL$2)),$E15,(RiskSlide!$A$7),($G15+CL$3),((RiskSlide!$A$10)/260),$C15,$B15,RiskSlide!$H44)</f>
        <v>-8897.8442280170948</v>
      </c>
      <c r="CM15">
        <f>PnL(($D$7*(1+CM$2)),$E15,(RiskSlide!$A$7),($G15+CM$3),((RiskSlide!$A$10)/260),$C15,$B15,RiskSlide!$H44)</f>
        <v>-8897.8442279305345</v>
      </c>
    </row>
    <row r="16" spans="1:91" x14ac:dyDescent="0.25">
      <c r="A16" t="s">
        <v>11</v>
      </c>
      <c r="B16">
        <v>5</v>
      </c>
      <c r="C16">
        <v>0</v>
      </c>
      <c r="E16">
        <v>1650</v>
      </c>
      <c r="F16">
        <v>3.5000000000000001E-3</v>
      </c>
      <c r="G16">
        <v>0.27276899999999998</v>
      </c>
      <c r="K16">
        <f>PnL(($D$7*(1+K$2)),$E16,(RiskSlide!$A$7),($G16+K$3),((RiskSlide!$A$10)/260),$C16,$B16,RiskSlide!$H45)</f>
        <v>14597.573055006109</v>
      </c>
      <c r="L16">
        <f>PnL(($D$7*(1+L$2)),$E16,(RiskSlide!$A$7),($G16+L$3),((RiskSlide!$A$10)/260),$C16,$B16,RiskSlide!$H45)</f>
        <v>13788.769802438963</v>
      </c>
      <c r="M16">
        <f>PnL(($D$7*(1+M$2)),$E16,(RiskSlide!$A$7),($G16+M$3),((RiskSlide!$A$10)/260),$C16,$B16,RiskSlide!$H45)</f>
        <v>13185.065334733992</v>
      </c>
      <c r="N16">
        <f>PnL(($D$7*(1+N$2)),$E16,(RiskSlide!$A$7),($G16+N$3),((RiskSlide!$A$10)/260),$C16,$B16,RiskSlide!$H45)</f>
        <v>13113.053901901851</v>
      </c>
      <c r="O16">
        <f>PnL(($D$7*(1+O$2)),$E16,(RiskSlide!$A$7),($G16+O$3),((RiskSlide!$A$10)/260),$C16,$B16,RiskSlide!$H45)</f>
        <v>13041.91922748899</v>
      </c>
      <c r="P16">
        <f>PnL(($D$7*(1+P$2)),$E16,(RiskSlide!$A$7),($G16+P$3),((RiskSlide!$A$10)/260),$C16,$B16,RiskSlide!$H45)</f>
        <v>12971.698864262209</v>
      </c>
      <c r="Q16">
        <f>PnL(($D$7*(1+Q$2)),$E16,(RiskSlide!$A$7),($G16+Q$3),((RiskSlide!$A$10)/260),$C16,$B16,RiskSlide!$H45)</f>
        <v>12902.432254023694</v>
      </c>
      <c r="R16">
        <f>PnL(($D$7*(1+R$2)),$E16,(RiskSlide!$A$7),($G16+R$3),((RiskSlide!$A$10)/260),$C16,$B16,RiskSlide!$H45)</f>
        <v>12388.060061626988</v>
      </c>
      <c r="S16">
        <f>PnL(($D$7*(1+S$2)),$E16,(RiskSlide!$A$7),($G16+S$3),((RiskSlide!$A$10)/260),$C16,$B16,RiskSlide!$H45)</f>
        <v>11876.97752076096</v>
      </c>
      <c r="T16">
        <f>PnL(($D$7*(1+T$2)),$E16,(RiskSlide!$A$7),($G16+T$3),((RiskSlide!$A$10)/260),$C16,$B16,RiskSlide!$H45)</f>
        <v>3447.7450909554072</v>
      </c>
      <c r="U16">
        <f>PnL(($D$7*(1+U$2)),$E16,(RiskSlide!$A$7),($G16+U$3),((RiskSlide!$A$10)/260),$C16,$B16,RiskSlide!$H45)</f>
        <v>2582.3802084871222</v>
      </c>
      <c r="V16">
        <f>PnL(($D$7*(1+V$2)),$E16,(RiskSlide!$A$7),($G16+V$3),((RiskSlide!$A$10)/260),$C16,$B16,RiskSlide!$H45)</f>
        <v>1928.0695859652317</v>
      </c>
      <c r="W16">
        <f>PnL(($D$7*(1+W$2)),$E16,(RiskSlide!$A$7),($G16+W$3),((RiskSlide!$A$10)/260),$C16,$B16,RiskSlide!$H45)</f>
        <v>1849.3354837159179</v>
      </c>
      <c r="X16">
        <f>PnL(($D$7*(1+X$2)),$E16,(RiskSlide!$A$7),($G16+X$3),((RiskSlide!$A$10)/260),$C16,$B16,RiskSlide!$H45)</f>
        <v>1771.3823959685433</v>
      </c>
      <c r="Y16">
        <f>PnL(($D$7*(1+Y$2)),$E16,(RiskSlide!$A$7),($G16+Y$3),((RiskSlide!$A$10)/260),$C16,$B16,RiskSlide!$H45)</f>
        <v>1694.2456927031335</v>
      </c>
      <c r="Z16">
        <f>PnL(($D$7*(1+Z$2)),$E16,(RiskSlide!$A$7),($G16+Z$3),((RiskSlide!$A$10)/260),$C16,$B16,RiskSlide!$H45)</f>
        <v>1617.9627097623941</v>
      </c>
      <c r="AA16">
        <f>PnL(($D$7*(1+AA$2)),$E16,(RiskSlide!$A$7),($G16+AA$3),((RiskSlide!$A$10)/260),$C16,$B16,RiskSlide!$H45)</f>
        <v>1043.6586947571689</v>
      </c>
      <c r="AB16">
        <f>PnL(($D$7*(1+AB$2)),$E16,(RiskSlide!$A$7),($G16+AB$3),((RiskSlide!$A$10)/260),$C16,$B16,RiskSlide!$H45)</f>
        <v>448.47883227689687</v>
      </c>
      <c r="AC16">
        <f>PnL(($D$7*(1+AC$2)),$E16,(RiskSlide!$A$7),($G16+AC$3),((RiskSlide!$A$10)/260),$C16,$B16,RiskSlide!$H45)</f>
        <v>594.60162554930832</v>
      </c>
      <c r="AD16">
        <f>PnL(($D$7*(1+AD$2)),$E16,(RiskSlide!$A$7),($G16+AD$3),((RiskSlide!$A$10)/260),$C16,$B16,RiskSlide!$H45)</f>
        <v>277.92642621184791</v>
      </c>
      <c r="AE16">
        <f>PnL(($D$7*(1+AE$2)),$E16,(RiskSlide!$A$7),($G16+AE$3),((RiskSlide!$A$10)/260),$C16,$B16,RiskSlide!$H45)</f>
        <v>105.06242125191446</v>
      </c>
      <c r="AF16">
        <f>PnL(($D$7*(1+AF$2)),$E16,(RiskSlide!$A$7),($G16+AF$3),((RiskSlide!$A$10)/260),$C16,$B16,RiskSlide!$H45)</f>
        <v>88.488557756673629</v>
      </c>
      <c r="AG16">
        <f>PnL(($D$7*(1+AG$2)),$E16,(RiskSlide!$A$7),($G16+AG$3),((RiskSlide!$A$10)/260),$C16,$B16,RiskSlide!$H45)</f>
        <v>73.001751117668164</v>
      </c>
      <c r="AH16">
        <f>PnL(($D$7*(1+AH$2)),$E16,(RiskSlide!$A$7),($G16+AH$3),((RiskSlide!$A$10)/260),$C16,$B16,RiskSlide!$H45)</f>
        <v>58.585573294331006</v>
      </c>
      <c r="AI16">
        <f>PnL(($D$7*(1+AI$2)),$E16,(RiskSlide!$A$7),($G16+AI$3),((RiskSlide!$A$10)/260),$C16,$B16,RiskSlide!$H45)</f>
        <v>45.220755274249846</v>
      </c>
      <c r="AJ16">
        <f>PnL(($D$7*(1+AJ$2)),$E16,(RiskSlide!$A$7),($G16+AJ$3),((RiskSlide!$A$10)/260),$C16,$B16,RiskSlide!$H45)</f>
        <v>-27.163447521719508</v>
      </c>
      <c r="AK16">
        <f>PnL(($D$7*(1+AK$2)),$E16,(RiskSlide!$A$7),($G16+AK$3),((RiskSlide!$A$10)/260),$C16,$B16,RiskSlide!$H45)</f>
        <v>-55.017566387389692</v>
      </c>
      <c r="AL16">
        <f>PnL(($D$7*(1+AL$2)),$E16,(RiskSlide!$A$7),($G16+AL$3),((RiskSlide!$A$10)/260),$C16,$B16,RiskSlide!$H45)</f>
        <v>452.46108909329672</v>
      </c>
      <c r="AM16">
        <f>PnL(($D$7*(1+AM$2)),$E16,(RiskSlide!$A$7),($G16+AM$3),((RiskSlide!$A$10)/260),$C16,$B16,RiskSlide!$H45)</f>
        <v>189.18831749701414</v>
      </c>
      <c r="AN16">
        <f>PnL(($D$7*(1+AN$2)),$E16,(RiskSlide!$A$7),($G16+AN$3),((RiskSlide!$A$10)/260),$C16,$B16,RiskSlide!$H45)</f>
        <v>53.754886107925337</v>
      </c>
      <c r="AO16">
        <f>PnL(($D$7*(1+AO$2)),$E16,(RiskSlide!$A$7),($G16+AO$3),((RiskSlide!$A$10)/260),$C16,$B16,RiskSlide!$H45)</f>
        <v>41.313183251321384</v>
      </c>
      <c r="AP16">
        <f>PnL(($D$7*(1+AP$2)),$E16,(RiskSlide!$A$7),($G16+AP$3),((RiskSlide!$A$10)/260),$C16,$B16,RiskSlide!$H45)</f>
        <v>29.810107379619311</v>
      </c>
      <c r="AQ16">
        <f>PnL(($D$7*(1+AQ$2)),$E16,(RiskSlide!$A$7),($G16+AQ$3),((RiskSlide!$A$10)/260),$C16,$B16,RiskSlide!$H45)</f>
        <v>19.221456854490171</v>
      </c>
      <c r="AR16">
        <f>PnL(($D$7*(1+AR$2)),$E16,(RiskSlide!$A$7),($G16+AR$3),((RiskSlide!$A$10)/260),$C16,$B16,RiskSlide!$H45)</f>
        <v>9.520497913320547</v>
      </c>
      <c r="AS16">
        <f>PnL(($D$7*(1+AS$2)),$E16,(RiskSlide!$A$7),($G16+AS$3),((RiskSlide!$A$10)/260),$C16,$B16,RiskSlide!$H45)</f>
        <v>-40.149736594227825</v>
      </c>
      <c r="AT16">
        <f>PnL(($D$7*(1+AT$2)),$E16,(RiskSlide!$A$7),($G16+AT$3),((RiskSlide!$A$10)/260),$C16,$B16,RiskSlide!$H45)</f>
        <v>-56.338691554262219</v>
      </c>
      <c r="AU16">
        <f>PnL(($D$7*(1+AU$2)),$E16,(RiskSlide!$A$7),($G16+AU$3),((RiskSlide!$A$10)/260),$C16,$B16,RiskSlide!$H45)</f>
        <v>338.14349539182143</v>
      </c>
      <c r="AV16">
        <f>PnL(($D$7*(1+AV$2)),$E16,(RiskSlide!$A$7),($G16+AV$3),((RiskSlide!$A$10)/260),$C16,$B16,RiskSlide!$H45)</f>
        <v>121.94224631821538</v>
      </c>
      <c r="AW16">
        <f>PnL(($D$7*(1+AW$2)),$E16,(RiskSlide!$A$7),($G16+AW$3),((RiskSlide!$A$10)/260),$C16,$B16,RiskSlide!$H45)</f>
        <v>17.534426193377861</v>
      </c>
      <c r="AX16">
        <f>PnL(($D$7*(1+AX$2)),$E16,(RiskSlide!$A$7),($G16+AX$3),((RiskSlide!$A$10)/260),$C16,$B16,RiskSlide!$H45)</f>
        <v>8.3740484861118958</v>
      </c>
      <c r="AY16">
        <f>PnL(($D$7*(1+AY$2)),$E16,(RiskSlide!$A$7),($G16+AY$3),((RiskSlide!$A$10)/260),$C16,$B16,RiskSlide!$H45)</f>
        <v>0</v>
      </c>
      <c r="AZ16">
        <f>PnL(($D$7*(1+AZ$2)),$E16,(RiskSlide!$A$7),($G16+AZ$3),((RiskSlide!$A$10)/260),$C16,$B16,RiskSlide!$H45)</f>
        <v>-7.6168457701433212</v>
      </c>
      <c r="BA16">
        <f>PnL(($D$7*(1+BA$2)),$E16,(RiskSlide!$A$7),($G16+BA$3),((RiskSlide!$A$10)/260),$C16,$B16,RiskSlide!$H45)</f>
        <v>-14.507596243398257</v>
      </c>
      <c r="BB16">
        <f>PnL(($D$7*(1+BB$2)),$E16,(RiskSlide!$A$7),($G16+BB$3),((RiskSlide!$A$10)/260),$C16,$B16,RiskSlide!$H45)</f>
        <v>-47.781845841865959</v>
      </c>
      <c r="BC16">
        <f>PnL(($D$7*(1+BC$2)),$E16,(RiskSlide!$A$7),($G16+BC$3),((RiskSlide!$A$10)/260),$C16,$B16,RiskSlide!$H45)</f>
        <v>-56.905063668838146</v>
      </c>
      <c r="BD16">
        <f>PnL(($D$7*(1+BD$2)),$E16,(RiskSlide!$A$7),($G16+BD$3),((RiskSlide!$A$10)/260),$C16,$B16,RiskSlide!$H45)</f>
        <v>247.02623077665376</v>
      </c>
      <c r="BE16">
        <f>PnL(($D$7*(1+BE$2)),$E16,(RiskSlide!$A$7),($G16+BE$3),((RiskSlide!$A$10)/260),$C16,$B16,RiskSlide!$H45)</f>
        <v>71.607535073002111</v>
      </c>
      <c r="BF16">
        <f>PnL(($D$7*(1+BF$2)),$E16,(RiskSlide!$A$7),($G16+BF$3),((RiskSlide!$A$10)/260),$C16,$B16,RiskSlide!$H45)</f>
        <v>-7.6183547114361261</v>
      </c>
      <c r="BG16">
        <f>PnL(($D$7*(1+BG$2)),$E16,(RiskSlide!$A$7),($G16+BG$3),((RiskSlide!$A$10)/260),$C16,$B16,RiskSlide!$H45)</f>
        <v>-14.235251037904462</v>
      </c>
      <c r="BH16">
        <f>PnL(($D$7*(1+BH$2)),$E16,(RiskSlide!$A$7),($G16+BH$3),((RiskSlide!$A$10)/260),$C16,$B16,RiskSlide!$H45)</f>
        <v>-20.211945596959158</v>
      </c>
      <c r="BI16">
        <f>PnL(($D$7*(1+BI$2)),$E16,(RiskSlide!$A$7),($G16+BI$3),((RiskSlide!$A$10)/260),$C16,$B16,RiskSlide!$H45)</f>
        <v>-25.579711848841225</v>
      </c>
      <c r="BJ16">
        <f>PnL(($D$7*(1+BJ$2)),$E16,(RiskSlide!$A$7),($G16+BJ$3),((RiskSlide!$A$10)/260),$C16,$B16,RiskSlide!$H45)</f>
        <v>-30.371127448162838</v>
      </c>
      <c r="BK16">
        <f>PnL(($D$7*(1+BK$2)),$E16,(RiskSlide!$A$7),($G16+BK$3),((RiskSlide!$A$10)/260),$C16,$B16,RiskSlide!$H45)</f>
        <v>-52.145780676310039</v>
      </c>
      <c r="BL16">
        <f>PnL(($D$7*(1+BL$2)),$E16,(RiskSlide!$A$7),($G16+BL$3),((RiskSlide!$A$10)/260),$C16,$B16,RiskSlide!$H45)</f>
        <v>-57.136711594838573</v>
      </c>
      <c r="BM16">
        <f>PnL(($D$7*(1+BM$2)),$E16,(RiskSlide!$A$7),($G16+BM$3),((RiskSlide!$A$10)/260),$C16,$B16,RiskSlide!$H45)</f>
        <v>175.04797210504552</v>
      </c>
      <c r="BN16">
        <f>PnL(($D$7*(1+BN$2)),$E16,(RiskSlide!$A$7),($G16+BN$3),((RiskSlide!$A$10)/260),$C16,$B16,RiskSlide!$H45)</f>
        <v>34.390394615759767</v>
      </c>
      <c r="BO16">
        <f>PnL(($D$7*(1+BO$2)),$E16,(RiskSlide!$A$7),($G16+BO$3),((RiskSlide!$A$10)/260),$C16,$B16,RiskSlide!$H45)</f>
        <v>-24.802291100808116</v>
      </c>
      <c r="BP16">
        <f>PnL(($D$7*(1+BP$2)),$E16,(RiskSlide!$A$7),($G16+BP$3),((RiskSlide!$A$10)/260),$C16,$B16,RiskSlide!$H45)</f>
        <v>-29.492910991897325</v>
      </c>
      <c r="BQ16">
        <f>PnL(($D$7*(1+BQ$2)),$E16,(RiskSlide!$A$7),($G16+BQ$3),((RiskSlide!$A$10)/260),$C16,$B16,RiskSlide!$H45)</f>
        <v>-33.676250027131701</v>
      </c>
      <c r="BR16">
        <f>PnL(($D$7*(1+BR$2)),$E16,(RiskSlide!$A$7),($G16+BR$3),((RiskSlide!$A$10)/260),$C16,$B16,RiskSlide!$H45)</f>
        <v>-37.383340917011232</v>
      </c>
      <c r="BS16">
        <f>PnL(($D$7*(1+BS$2)),$E16,(RiskSlide!$A$7),($G16+BS$3),((RiskSlide!$A$10)/260),$C16,$B16,RiskSlide!$H45)</f>
        <v>-40.645831352759117</v>
      </c>
      <c r="BT16">
        <f>PnL(($D$7*(1+BT$2)),$E16,(RiskSlide!$A$7),($G16+BT$3),((RiskSlide!$A$10)/260),$C16,$B16,RiskSlide!$H45)</f>
        <v>-54.573943326119036</v>
      </c>
      <c r="BU16">
        <f>PnL(($D$7*(1+BU$2)),$E16,(RiskSlide!$A$7),($G16+BU$3),((RiskSlide!$A$10)/260),$C16,$B16,RiskSlide!$H45)</f>
        <v>-57.227141665559394</v>
      </c>
      <c r="BV16">
        <f>PnL(($D$7*(1+BV$2)),$E16,(RiskSlide!$A$7),($G16+BV$3),((RiskSlide!$A$10)/260),$C16,$B16,RiskSlide!$H45)</f>
        <v>-37.068518750312585</v>
      </c>
      <c r="BW16">
        <f>PnL(($D$7*(1+BW$2)),$E16,(RiskSlide!$A$7),($G16+BW$3),((RiskSlide!$A$10)/260),$C16,$B16,RiskSlide!$H45)</f>
        <v>-53.223201455404656</v>
      </c>
      <c r="BX16">
        <f>PnL(($D$7*(1+BX$2)),$E16,(RiskSlide!$A$7),($G16+BX$3),((RiskSlide!$A$10)/260),$C16,$B16,RiskSlide!$H45)</f>
        <v>-56.637771087553041</v>
      </c>
      <c r="BY16">
        <f>PnL(($D$7*(1+BY$2)),$E16,(RiskSlide!$A$7),($G16+BY$3),((RiskSlide!$A$10)/260),$C16,$B16,RiskSlide!$H45)</f>
        <v>-56.794978569708391</v>
      </c>
      <c r="BZ16">
        <f>PnL(($D$7*(1+BZ$2)),$E16,(RiskSlide!$A$7),($G16+BZ$3),((RiskSlide!$A$10)/260),$C16,$B16,RiskSlide!$H45)</f>
        <v>-56.918701280511641</v>
      </c>
      <c r="CA16">
        <f>PnL(($D$7*(1+CA$2)),$E16,(RiskSlide!$A$7),($G16+CA$3),((RiskSlide!$A$10)/260),$C16,$B16,RiskSlide!$H45)</f>
        <v>-57.014775559810474</v>
      </c>
      <c r="CB16">
        <f>PnL(($D$7*(1+CB$2)),$E16,(RiskSlide!$A$7),($G16+CB$3),((RiskSlide!$A$10)/260),$C16,$B16,RiskSlide!$H45)</f>
        <v>-57.088312358473139</v>
      </c>
      <c r="CC16">
        <f>PnL(($D$7*(1+CC$2)),$E16,(RiskSlide!$A$7),($G16+CC$3),((RiskSlide!$A$10)/260),$C16,$B16,RiskSlide!$H45)</f>
        <v>-57.272277987819912</v>
      </c>
      <c r="CD16">
        <f>PnL(($D$7*(1+CD$2)),$E16,(RiskSlide!$A$7),($G16+CD$3),((RiskSlide!$A$10)/260),$C16,$B16,RiskSlide!$H45)</f>
        <v>-57.27885697022441</v>
      </c>
      <c r="CE16">
        <f>PnL(($D$7*(1+CE$2)),$E16,(RiskSlide!$A$7),($G16+CE$3),((RiskSlide!$A$10)/260),$C16,$B16,RiskSlide!$H45)</f>
        <v>-56.794216195622482</v>
      </c>
      <c r="CF16">
        <f>PnL(($D$7*(1+CF$2)),$E16,(RiskSlide!$A$7),($G16+CF$3),((RiskSlide!$A$10)/260),$C16,$B16,RiskSlide!$H45)</f>
        <v>-57.246597642333363</v>
      </c>
      <c r="CG16">
        <f>PnL(($D$7*(1+CG$2)),$E16,(RiskSlide!$A$7),($G16+CG$3),((RiskSlide!$A$10)/260),$C16,$B16,RiskSlide!$H45)</f>
        <v>-57.277507496593138</v>
      </c>
      <c r="CH16">
        <f>PnL(($D$7*(1+CH$2)),$E16,(RiskSlide!$A$7),($G16+CH$3),((RiskSlide!$A$10)/260),$C16,$B16,RiskSlide!$H45)</f>
        <v>-57.278029991439738</v>
      </c>
      <c r="CI16">
        <f>PnL(($D$7*(1+CI$2)),$E16,(RiskSlide!$A$7),($G16+CI$3),((RiskSlide!$A$10)/260),$C16,$B16,RiskSlide!$H45)</f>
        <v>-57.278363432061063</v>
      </c>
      <c r="CJ16">
        <f>PnL(($D$7*(1+CJ$2)),$E16,(RiskSlide!$A$7),($G16+CJ$3),((RiskSlide!$A$10)/260),$C16,$B16,RiskSlide!$H45)</f>
        <v>-57.278570951528039</v>
      </c>
      <c r="CK16">
        <f>PnL(($D$7*(1+CK$2)),$E16,(RiskSlide!$A$7),($G16+CK$3),((RiskSlide!$A$10)/260),$C16,$B16,RiskSlide!$H45)</f>
        <v>-57.278696663892937</v>
      </c>
      <c r="CL16">
        <f>PnL(($D$7*(1+CL$2)),$E16,(RiskSlide!$A$7),($G16+CL$3),((RiskSlide!$A$10)/260),$C16,$B16,RiskSlide!$H45)</f>
        <v>-57.278859914561799</v>
      </c>
      <c r="CM16">
        <f>PnL(($D$7*(1+CM$2)),$E16,(RiskSlide!$A$7),($G16+CM$3),((RiskSlide!$A$10)/260),$C16,$B16,RiskSlide!$H45)</f>
        <v>-57.278860347338778</v>
      </c>
    </row>
    <row r="17" spans="1:91" x14ac:dyDescent="0.25">
      <c r="A17" t="s">
        <v>12</v>
      </c>
      <c r="B17">
        <v>-5</v>
      </c>
      <c r="C17">
        <v>0</v>
      </c>
      <c r="E17">
        <v>1655</v>
      </c>
      <c r="F17">
        <v>3.5000000000000001E-3</v>
      </c>
      <c r="G17">
        <v>0.26607799999999998</v>
      </c>
      <c r="K17">
        <f>PnL(($D$7*(1+K$2)),$E17,(RiskSlide!$A$7),($G17+K$3),((RiskSlide!$A$10)/260),$C17,$B17,RiskSlide!$H46)</f>
        <v>-15422.366426727946</v>
      </c>
      <c r="L17">
        <f>PnL(($D$7*(1+L$2)),$E17,(RiskSlide!$A$7),($G17+L$3),((RiskSlide!$A$10)/260),$C17,$B17,RiskSlide!$H46)</f>
        <v>-14659.09570882725</v>
      </c>
      <c r="M17">
        <f>PnL(($D$7*(1+M$2)),$E17,(RiskSlide!$A$7),($G17+M$3),((RiskSlide!$A$10)/260),$C17,$B17,RiskSlide!$H46)</f>
        <v>-14101.242917588037</v>
      </c>
      <c r="N17">
        <f>PnL(($D$7*(1+N$2)),$E17,(RiskSlide!$A$7),($G17+N$3),((RiskSlide!$A$10)/260),$C17,$B17,RiskSlide!$H46)</f>
        <v>-14035.672642753481</v>
      </c>
      <c r="O17">
        <f>PnL(($D$7*(1+O$2)),$E17,(RiskSlide!$A$7),($G17+O$3),((RiskSlide!$A$10)/260),$C17,$B17,RiskSlide!$H46)</f>
        <v>-13971.151964377226</v>
      </c>
      <c r="P17">
        <f>PnL(($D$7*(1+P$2)),$E17,(RiskSlide!$A$7),($G17+P$3),((RiskSlide!$A$10)/260),$C17,$B17,RiskSlide!$H46)</f>
        <v>-13907.722933790252</v>
      </c>
      <c r="Q17">
        <f>PnL(($D$7*(1+Q$2)),$E17,(RiskSlide!$A$7),($G17+Q$3),((RiskSlide!$A$10)/260),$C17,$B17,RiskSlide!$H46)</f>
        <v>-13845.429394962834</v>
      </c>
      <c r="R17">
        <f>PnL(($D$7*(1+R$2)),$E17,(RiskSlide!$A$7),($G17+R$3),((RiskSlide!$A$10)/260),$C17,$B17,RiskSlide!$H46)</f>
        <v>-13393.831606726066</v>
      </c>
      <c r="S17">
        <f>PnL(($D$7*(1+S$2)),$E17,(RiskSlide!$A$7),($G17+S$3),((RiskSlide!$A$10)/260),$C17,$B17,RiskSlide!$H46)</f>
        <v>-12978.652303741241</v>
      </c>
      <c r="T17">
        <f>PnL(($D$7*(1+T$2)),$E17,(RiskSlide!$A$7),($G17+T$3),((RiskSlide!$A$10)/260),$C17,$B17,RiskSlide!$H46)</f>
        <v>-3706.8167878317108</v>
      </c>
      <c r="U17">
        <f>PnL(($D$7*(1+U$2)),$E17,(RiskSlide!$A$7),($G17+U$3),((RiskSlide!$A$10)/260),$C17,$B17,RiskSlide!$H46)</f>
        <v>-2810.2460236786851</v>
      </c>
      <c r="V17">
        <f>PnL(($D$7*(1+V$2)),$E17,(RiskSlide!$A$7),($G17+V$3),((RiskSlide!$A$10)/260),$C17,$B17,RiskSlide!$H46)</f>
        <v>-2125.7474845542943</v>
      </c>
      <c r="W17">
        <f>PnL(($D$7*(1+W$2)),$E17,(RiskSlide!$A$7),($G17+W$3),((RiskSlide!$A$10)/260),$C17,$B17,RiskSlide!$H46)</f>
        <v>-2042.8557776535979</v>
      </c>
      <c r="X17">
        <f>PnL(($D$7*(1+X$2)),$E17,(RiskSlide!$A$7),($G17+X$3),((RiskSlide!$A$10)/260),$C17,$B17,RiskSlide!$H46)</f>
        <v>-1960.6527906996955</v>
      </c>
      <c r="Y17">
        <f>PnL(($D$7*(1+Y$2)),$E17,(RiskSlide!$A$7),($G17+Y$3),((RiskSlide!$A$10)/260),$C17,$B17,RiskSlide!$H46)</f>
        <v>-1879.1718996112063</v>
      </c>
      <c r="Z17">
        <f>PnL(($D$7*(1+Z$2)),$E17,(RiskSlide!$A$7),($G17+Z$3),((RiskSlide!$A$10)/260),$C17,$B17,RiskSlide!$H46)</f>
        <v>-1798.4485211609904</v>
      </c>
      <c r="AA17">
        <f>PnL(($D$7*(1+AA$2)),$E17,(RiskSlide!$A$7),($G17+AA$3),((RiskSlide!$A$10)/260),$C17,$B17,RiskSlide!$H46)</f>
        <v>-1184.9771576173093</v>
      </c>
      <c r="AB17">
        <f>PnL(($D$7*(1+AB$2)),$E17,(RiskSlide!$A$7),($G17+AB$3),((RiskSlide!$A$10)/260),$C17,$B17,RiskSlide!$H46)</f>
        <v>-532.00648301629451</v>
      </c>
      <c r="AC17">
        <f>PnL(($D$7*(1+AC$2)),$E17,(RiskSlide!$A$7),($G17+AC$3),((RiskSlide!$A$10)/260),$C17,$B17,RiskSlide!$H46)</f>
        <v>-639.2450478728033</v>
      </c>
      <c r="AD17">
        <f>PnL(($D$7*(1+AD$2)),$E17,(RiskSlide!$A$7),($G17+AD$3),((RiskSlide!$A$10)/260),$C17,$B17,RiskSlide!$H46)</f>
        <v>-301.58211196089547</v>
      </c>
      <c r="AE17">
        <f>PnL(($D$7*(1+AE$2)),$E17,(RiskSlide!$A$7),($G17+AE$3),((RiskSlide!$A$10)/260),$C17,$B17,RiskSlide!$H46)</f>
        <v>-115.18996759093092</v>
      </c>
      <c r="AF17">
        <f>PnL(($D$7*(1+AF$2)),$E17,(RiskSlide!$A$7),($G17+AF$3),((RiskSlide!$A$10)/260),$C17,$B17,RiskSlide!$H46)</f>
        <v>-97.206120148172204</v>
      </c>
      <c r="AG17">
        <f>PnL(($D$7*(1+AG$2)),$E17,(RiskSlide!$A$7),($G17+AG$3),((RiskSlide!$A$10)/260),$C17,$B17,RiskSlide!$H46)</f>
        <v>-80.379869889547706</v>
      </c>
      <c r="AH17">
        <f>PnL(($D$7*(1+AH$2)),$E17,(RiskSlide!$A$7),($G17+AH$3),((RiskSlide!$A$10)/260),$C17,$B17,RiskSlide!$H46)</f>
        <v>-64.696749350154903</v>
      </c>
      <c r="AI17">
        <f>PnL(($D$7*(1+AI$2)),$E17,(RiskSlide!$A$7),($G17+AI$3),((RiskSlide!$A$10)/260),$C17,$B17,RiskSlide!$H46)</f>
        <v>-50.13919199230088</v>
      </c>
      <c r="AJ17">
        <f>PnL(($D$7*(1+AJ$2)),$E17,(RiskSlide!$A$7),($G17+AJ$3),((RiskSlide!$A$10)/260),$C17,$B17,RiskSlide!$H46)</f>
        <v>29.030334582229145</v>
      </c>
      <c r="AK17">
        <f>PnL(($D$7*(1+AK$2)),$E17,(RiskSlide!$A$7),($G17+AK$3),((RiskSlide!$A$10)/260),$C17,$B17,RiskSlide!$H46)</f>
        <v>59.479787661125997</v>
      </c>
      <c r="AL17">
        <f>PnL(($D$7*(1+AL$2)),$E17,(RiskSlide!$A$7),($G17+AL$3),((RiskSlide!$A$10)/260),$C17,$B17,RiskSlide!$H46)</f>
        <v>-485.73672301501068</v>
      </c>
      <c r="AM17">
        <f>PnL(($D$7*(1+AM$2)),$E17,(RiskSlide!$A$7),($G17+AM$3),((RiskSlide!$A$10)/260),$C17,$B17,RiskSlide!$H46)</f>
        <v>-204.73137659657147</v>
      </c>
      <c r="AN17">
        <f>PnL(($D$7*(1+AN$2)),$E17,(RiskSlide!$A$7),($G17+AN$3),((RiskSlide!$A$10)/260),$C17,$B17,RiskSlide!$H46)</f>
        <v>-58.710303667528052</v>
      </c>
      <c r="AO17">
        <f>PnL(($D$7*(1+AO$2)),$E17,(RiskSlide!$A$7),($G17+AO$3),((RiskSlide!$A$10)/260),$C17,$B17,RiskSlide!$H46)</f>
        <v>-45.224833562565792</v>
      </c>
      <c r="AP17">
        <f>PnL(($D$7*(1+AP$2)),$E17,(RiskSlide!$A$7),($G17+AP$3),((RiskSlide!$A$10)/260),$C17,$B17,RiskSlide!$H46)</f>
        <v>-32.744294125395257</v>
      </c>
      <c r="AQ17">
        <f>PnL(($D$7*(1+AQ$2)),$E17,(RiskSlide!$A$7),($G17+AQ$3),((RiskSlide!$A$10)/260),$C17,$B17,RiskSlide!$H46)</f>
        <v>-21.245055242170352</v>
      </c>
      <c r="AR17">
        <f>PnL(($D$7*(1+AR$2)),$E17,(RiskSlide!$A$7),($G17+AR$3),((RiskSlide!$A$10)/260),$C17,$B17,RiskSlide!$H46)</f>
        <v>-10.700637641146038</v>
      </c>
      <c r="AS17">
        <f>PnL(($D$7*(1+AS$2)),$E17,(RiskSlide!$A$7),($G17+AS$3),((RiskSlide!$A$10)/260),$C17,$B17,RiskSlide!$H46)</f>
        <v>43.39528244117696</v>
      </c>
      <c r="AT17">
        <f>PnL(($D$7*(1+AT$2)),$E17,(RiskSlide!$A$7),($G17+AT$3),((RiskSlide!$A$10)/260),$C17,$B17,RiskSlide!$H46)</f>
        <v>60.883770123785986</v>
      </c>
      <c r="AU17">
        <f>PnL(($D$7*(1+AU$2)),$E17,(RiskSlide!$A$7),($G17+AU$3),((RiskSlide!$A$10)/260),$C17,$B17,RiskSlide!$H46)</f>
        <v>-362.31637267451157</v>
      </c>
      <c r="AV17">
        <f>PnL(($D$7*(1+AV$2)),$E17,(RiskSlide!$A$7),($G17+AV$3),((RiskSlide!$A$10)/260),$C17,$B17,RiskSlide!$H46)</f>
        <v>-131.44294901282549</v>
      </c>
      <c r="AW17">
        <f>PnL(($D$7*(1+AW$2)),$E17,(RiskSlide!$A$7),($G17+AW$3),((RiskSlide!$A$10)/260),$C17,$B17,RiskSlide!$H46)</f>
        <v>-18.97103942064593</v>
      </c>
      <c r="AX17">
        <f>PnL(($D$7*(1+AX$2)),$E17,(RiskSlide!$A$7),($G17+AX$3),((RiskSlide!$A$10)/260),$C17,$B17,RiskSlide!$H46)</f>
        <v>-9.0631413801425253</v>
      </c>
      <c r="AY17">
        <f>PnL(($D$7*(1+AY$2)),$E17,(RiskSlide!$A$7),($G17+AY$3),((RiskSlide!$A$10)/260),$C17,$B17,RiskSlide!$H46)</f>
        <v>0</v>
      </c>
      <c r="AZ17">
        <f>PnL(($D$7*(1+AZ$2)),$E17,(RiskSlide!$A$7),($G17+AZ$3),((RiskSlide!$A$10)/260),$C17,$B17,RiskSlide!$H46)</f>
        <v>8.24809164214102</v>
      </c>
      <c r="BA17">
        <f>PnL(($D$7*(1+BA$2)),$E17,(RiskSlide!$A$7),($G17+BA$3),((RiskSlide!$A$10)/260),$C17,$B17,RiskSlide!$H46)</f>
        <v>15.713134523103633</v>
      </c>
      <c r="BB17">
        <f>PnL(($D$7*(1+BB$2)),$E17,(RiskSlide!$A$7),($G17+BB$3),((RiskSlide!$A$10)/260),$C17,$B17,RiskSlide!$H46)</f>
        <v>51.747122022943074</v>
      </c>
      <c r="BC17">
        <f>PnL(($D$7*(1+BC$2)),$E17,(RiskSlide!$A$7),($G17+BC$3),((RiskSlide!$A$10)/260),$C17,$B17,RiskSlide!$H46)</f>
        <v>61.467247705224217</v>
      </c>
      <c r="BD17">
        <f>PnL(($D$7*(1+BD$2)),$E17,(RiskSlide!$A$7),($G17+BD$3),((RiskSlide!$A$10)/260),$C17,$B17,RiskSlide!$H46)</f>
        <v>-264.0084168622945</v>
      </c>
      <c r="BE17">
        <f>PnL(($D$7*(1+BE$2)),$E17,(RiskSlide!$A$7),($G17+BE$3),((RiskSlide!$A$10)/260),$C17,$B17,RiskSlide!$H46)</f>
        <v>-76.69371966750127</v>
      </c>
      <c r="BF17">
        <f>PnL(($D$7*(1+BF$2)),$E17,(RiskSlide!$A$7),($G17+BF$3),((RiskSlide!$A$10)/260),$C17,$B17,RiskSlide!$H46)</f>
        <v>8.510831214647574</v>
      </c>
      <c r="BG17">
        <f>PnL(($D$7*(1+BG$2)),$E17,(RiskSlide!$A$7),($G17+BG$3),((RiskSlide!$A$10)/260),$C17,$B17,RiskSlide!$H46)</f>
        <v>15.645364960107599</v>
      </c>
      <c r="BH17">
        <f>PnL(($D$7*(1+BH$2)),$E17,(RiskSlide!$A$7),($G17+BH$3),((RiskSlide!$A$10)/260),$C17,$B17,RiskSlide!$H46)</f>
        <v>22.090995583598616</v>
      </c>
      <c r="BI17">
        <f>PnL(($D$7*(1+BI$2)),$E17,(RiskSlide!$A$7),($G17+BI$3),((RiskSlide!$A$10)/260),$C17,$B17,RiskSlide!$H46)</f>
        <v>27.880388337269135</v>
      </c>
      <c r="BJ17">
        <f>PnL(($D$7*(1+BJ$2)),$E17,(RiskSlide!$A$7),($G17+BJ$3),((RiskSlide!$A$10)/260),$C17,$B17,RiskSlide!$H46)</f>
        <v>33.047773931293989</v>
      </c>
      <c r="BK17">
        <f>PnL(($D$7*(1+BK$2)),$E17,(RiskSlide!$A$7),($G17+BK$3),((RiskSlide!$A$10)/260),$C17,$B17,RiskSlide!$H46)</f>
        <v>56.46291452043284</v>
      </c>
      <c r="BL17">
        <f>PnL(($D$7*(1+BL$2)),$E17,(RiskSlide!$A$7),($G17+BL$3),((RiskSlide!$A$10)/260),$C17,$B17,RiskSlide!$H46)</f>
        <v>61.697659303360872</v>
      </c>
      <c r="BM17">
        <f>PnL(($D$7*(1+BM$2)),$E17,(RiskSlide!$A$7),($G17+BM$3),((RiskSlide!$A$10)/260),$C17,$B17,RiskSlide!$H46)</f>
        <v>-186.42711412951661</v>
      </c>
      <c r="BN17">
        <f>PnL(($D$7*(1+BN$2)),$E17,(RiskSlide!$A$7),($G17+BN$3),((RiskSlide!$A$10)/260),$C17,$B17,RiskSlide!$H46)</f>
        <v>-36.314276689672909</v>
      </c>
      <c r="BO17">
        <f>PnL(($D$7*(1+BO$2)),$E17,(RiskSlide!$A$7),($G17+BO$3),((RiskSlide!$A$10)/260),$C17,$B17,RiskSlide!$H46)</f>
        <v>27.192506024763308</v>
      </c>
      <c r="BP17">
        <f>PnL(($D$7*(1+BP$2)),$E17,(RiskSlide!$A$7),($G17+BP$3),((RiskSlide!$A$10)/260),$C17,$B17,RiskSlide!$H46)</f>
        <v>32.229280622154462</v>
      </c>
      <c r="BQ17">
        <f>PnL(($D$7*(1+BQ$2)),$E17,(RiskSlide!$A$7),($G17+BQ$3),((RiskSlide!$A$10)/260),$C17,$B17,RiskSlide!$H46)</f>
        <v>36.720173252606791</v>
      </c>
      <c r="BR17">
        <f>PnL(($D$7*(1+BR$2)),$E17,(RiskSlide!$A$7),($G17+BR$3),((RiskSlide!$A$10)/260),$C17,$B17,RiskSlide!$H46)</f>
        <v>40.698060399994688</v>
      </c>
      <c r="BS17">
        <f>PnL(($D$7*(1+BS$2)),$E17,(RiskSlide!$A$7),($G17+BS$3),((RiskSlide!$A$10)/260),$C17,$B17,RiskSlide!$H46)</f>
        <v>44.196616063194803</v>
      </c>
      <c r="BT17">
        <f>PnL(($D$7*(1+BT$2)),$E17,(RiskSlide!$A$7),($G17+BT$3),((RiskSlide!$A$10)/260),$C17,$B17,RiskSlide!$H46)</f>
        <v>59.049426969835231</v>
      </c>
      <c r="BU17">
        <f>PnL(($D$7*(1+BU$2)),$E17,(RiskSlide!$A$7),($G17+BU$3),((RiskSlide!$A$10)/260),$C17,$B17,RiskSlide!$H46)</f>
        <v>61.784156450119703</v>
      </c>
      <c r="BV17">
        <f>PnL(($D$7*(1+BV$2)),$E17,(RiskSlide!$A$7),($G17+BV$3),((RiskSlide!$A$10)/260),$C17,$B17,RiskSlide!$H46)</f>
        <v>40.817256310664348</v>
      </c>
      <c r="BW17">
        <f>PnL(($D$7*(1+BW$2)),$E17,(RiskSlide!$A$7),($G17+BW$3),((RiskSlide!$A$10)/260),$C17,$B17,RiskSlide!$H46)</f>
        <v>57.694307416920722</v>
      </c>
      <c r="BX17">
        <f>PnL(($D$7*(1+BX$2)),$E17,(RiskSlide!$A$7),($G17+BX$3),((RiskSlide!$A$10)/260),$C17,$B17,RiskSlide!$H46)</f>
        <v>61.199751900926202</v>
      </c>
      <c r="BY17">
        <f>PnL(($D$7*(1+BY$2)),$E17,(RiskSlide!$A$7),($G17+BY$3),((RiskSlide!$A$10)/260),$C17,$B17,RiskSlide!$H46)</f>
        <v>61.357618324056475</v>
      </c>
      <c r="BZ17">
        <f>PnL(($D$7*(1+BZ$2)),$E17,(RiskSlide!$A$7),($G17+BZ$3),((RiskSlide!$A$10)/260),$C17,$B17,RiskSlide!$H46)</f>
        <v>61.481126973495144</v>
      </c>
      <c r="CA17">
        <f>PnL(($D$7*(1+CA$2)),$E17,(RiskSlide!$A$7),($G17+CA$3),((RiskSlide!$A$10)/260),$C17,$B17,RiskSlide!$H46)</f>
        <v>61.576404502920305</v>
      </c>
      <c r="CB17">
        <f>PnL(($D$7*(1+CB$2)),$E17,(RiskSlide!$A$7),($G17+CB$3),((RiskSlide!$A$10)/260),$C17,$B17,RiskSlide!$H46)</f>
        <v>61.648796902876583</v>
      </c>
      <c r="CC17">
        <f>PnL(($D$7*(1+CC$2)),$E17,(RiskSlide!$A$7),($G17+CC$3),((RiskSlide!$A$10)/260),$C17,$B17,RiskSlide!$H46)</f>
        <v>61.824832760395772</v>
      </c>
      <c r="CD17">
        <f>PnL(($D$7*(1+CD$2)),$E17,(RiskSlide!$A$7),($G17+CD$3),((RiskSlide!$A$10)/260),$C17,$B17,RiskSlide!$H46)</f>
        <v>61.830396925665028</v>
      </c>
      <c r="CE17">
        <f>PnL(($D$7*(1+CE$2)),$E17,(RiskSlide!$A$7),($G17+CE$3),((RiskSlide!$A$10)/260),$C17,$B17,RiskSlide!$H46)</f>
        <v>61.356618539818946</v>
      </c>
      <c r="CF17">
        <f>PnL(($D$7*(1+CF$2)),$E17,(RiskSlide!$A$7),($G17+CF$3),((RiskSlide!$A$10)/260),$C17,$B17,RiskSlide!$H46)</f>
        <v>61.80076513241076</v>
      </c>
      <c r="CG17">
        <f>PnL(($D$7*(1+CG$2)),$E17,(RiskSlide!$A$7),($G17+CG$3),((RiskSlide!$A$10)/260),$C17,$B17,RiskSlide!$H46)</f>
        <v>61.829274117878846</v>
      </c>
      <c r="CH17">
        <f>PnL(($D$7*(1+CH$2)),$E17,(RiskSlide!$A$7),($G17+CH$3),((RiskSlide!$A$10)/260),$C17,$B17,RiskSlide!$H46)</f>
        <v>61.82972066185048</v>
      </c>
      <c r="CI17">
        <f>PnL(($D$7*(1+CI$2)),$E17,(RiskSlide!$A$7),($G17+CI$3),((RiskSlide!$A$10)/260),$C17,$B17,RiskSlide!$H46)</f>
        <v>61.830000771517369</v>
      </c>
      <c r="CJ17">
        <f>PnL(($D$7*(1+CJ$2)),$E17,(RiskSlide!$A$7),($G17+CJ$3),((RiskSlide!$A$10)/260),$C17,$B17,RiskSlide!$H46)</f>
        <v>61.830171848115882</v>
      </c>
      <c r="CK17">
        <f>PnL(($D$7*(1+CK$2)),$E17,(RiskSlide!$A$7),($G17+CK$3),((RiskSlide!$A$10)/260),$C17,$B17,RiskSlide!$H46)</f>
        <v>61.830273367902301</v>
      </c>
      <c r="CL17">
        <f>PnL(($D$7*(1+CL$2)),$E17,(RiskSlide!$A$7),($G17+CL$3),((RiskSlide!$A$10)/260),$C17,$B17,RiskSlide!$H46)</f>
        <v>61.830398539874217</v>
      </c>
      <c r="CM17">
        <f>PnL(($D$7*(1+CM$2)),$E17,(RiskSlide!$A$7),($G17+CM$3),((RiskSlide!$A$10)/260),$C17,$B17,RiskSlide!$H46)</f>
        <v>61.830398788161979</v>
      </c>
    </row>
    <row r="18" spans="1:91" x14ac:dyDescent="0.25">
      <c r="A18" t="s">
        <v>13</v>
      </c>
      <c r="B18">
        <v>4</v>
      </c>
      <c r="C18">
        <v>0</v>
      </c>
      <c r="E18">
        <v>1660</v>
      </c>
      <c r="F18">
        <v>3.5000000000000001E-3</v>
      </c>
      <c r="G18">
        <v>0.25940200000000002</v>
      </c>
      <c r="K18">
        <f>PnL(($D$7*(1+K$2)),$E18,(RiskSlide!$A$7),($G18+K$3),((RiskSlide!$A$10)/260),$C18,$B18,RiskSlide!$H47)</f>
        <v>13026.295963298769</v>
      </c>
      <c r="L18">
        <f>PnL(($D$7*(1+L$2)),$E18,(RiskSlide!$A$7),($G18+L$3),((RiskSlide!$A$10)/260),$C18,$B18,RiskSlide!$H47)</f>
        <v>12455.644900531497</v>
      </c>
      <c r="M18">
        <f>PnL(($D$7*(1+M$2)),$E18,(RiskSlide!$A$7),($G18+M$3),((RiskSlide!$A$10)/260),$C18,$B18,RiskSlide!$H47)</f>
        <v>12049.002615097261</v>
      </c>
      <c r="N18">
        <f>PnL(($D$7*(1+N$2)),$E18,(RiskSlide!$A$7),($G18+N$3),((RiskSlide!$A$10)/260),$C18,$B18,RiskSlide!$H47)</f>
        <v>12002.055704147524</v>
      </c>
      <c r="O18">
        <f>PnL(($D$7*(1+O$2)),$E18,(RiskSlide!$A$7),($G18+O$3),((RiskSlide!$A$10)/260),$C18,$B18,RiskSlide!$H47)</f>
        <v>11956.079235419675</v>
      </c>
      <c r="P18">
        <f>PnL(($D$7*(1+P$2)),$E18,(RiskSlide!$A$7),($G18+P$3),((RiskSlide!$A$10)/260),$C18,$B18,RiskSlide!$H47)</f>
        <v>11911.108577761452</v>
      </c>
      <c r="Q18">
        <f>PnL(($D$7*(1+Q$2)),$E18,(RiskSlide!$A$7),($G18+Q$3),((RiskSlide!$A$10)/260),$C18,$B18,RiskSlide!$H47)</f>
        <v>11867.180214970513</v>
      </c>
      <c r="R18">
        <f>PnL(($D$7*(1+R$2)),$E18,(RiskSlide!$A$7),($G18+R$3),((RiskSlide!$A$10)/260),$C18,$B18,RiskSlide!$H47)</f>
        <v>11557.973720575883</v>
      </c>
      <c r="S18">
        <f>PnL(($D$7*(1+S$2)),$E18,(RiskSlide!$A$7),($G18+S$3),((RiskSlide!$A$10)/260),$C18,$B18,RiskSlide!$H47)</f>
        <v>11299.865280017475</v>
      </c>
      <c r="T18">
        <f>PnL(($D$7*(1+T$2)),$E18,(RiskSlide!$A$7),($G18+T$3),((RiskSlide!$A$10)/260),$C18,$B18,RiskSlide!$H47)</f>
        <v>3189.8575135016204</v>
      </c>
      <c r="U18">
        <f>PnL(($D$7*(1+U$2)),$E18,(RiskSlide!$A$7),($G18+U$3),((RiskSlide!$A$10)/260),$C18,$B18,RiskSlide!$H47)</f>
        <v>2448.6219563151922</v>
      </c>
      <c r="V18">
        <f>PnL(($D$7*(1+V$2)),$E18,(RiskSlide!$A$7),($G18+V$3),((RiskSlide!$A$10)/260),$C18,$B18,RiskSlide!$H47)</f>
        <v>1877.4204580795938</v>
      </c>
      <c r="W18">
        <f>PnL(($D$7*(1+W$2)),$E18,(RiskSlide!$A$7),($G18+W$3),((RiskSlide!$A$10)/260),$C18,$B18,RiskSlide!$H47)</f>
        <v>1807.820757889381</v>
      </c>
      <c r="X18">
        <f>PnL(($D$7*(1+X$2)),$E18,(RiskSlide!$A$7),($G18+X$3),((RiskSlide!$A$10)/260),$C18,$B18,RiskSlide!$H47)</f>
        <v>1738.6894280100094</v>
      </c>
      <c r="Y18">
        <f>PnL(($D$7*(1+Y$2)),$E18,(RiskSlide!$A$7),($G18+Y$3),((RiskSlide!$A$10)/260),$C18,$B18,RiskSlide!$H47)</f>
        <v>1670.050674652198</v>
      </c>
      <c r="Z18">
        <f>PnL(($D$7*(1+Z$2)),$E18,(RiskSlide!$A$7),($G18+Z$3),((RiskSlide!$A$10)/260),$C18,$B18,RiskSlide!$H47)</f>
        <v>1601.9303166633747</v>
      </c>
      <c r="AA18">
        <f>PnL(($D$7*(1+AA$2)),$E18,(RiskSlide!$A$7),($G18+AA$3),((RiskSlide!$A$10)/260),$C18,$B18,RiskSlide!$H47)</f>
        <v>1079.3718882044302</v>
      </c>
      <c r="AB18">
        <f>PnL(($D$7*(1+AB$2)),$E18,(RiskSlide!$A$7),($G18+AB$3),((RiskSlide!$A$10)/260),$C18,$B18,RiskSlide!$H47)</f>
        <v>507.81006723239699</v>
      </c>
      <c r="AC18">
        <f>PnL(($D$7*(1+AC$2)),$E18,(RiskSlide!$A$7),($G18+AC$3),((RiskSlide!$A$10)/260),$C18,$B18,RiskSlide!$H47)</f>
        <v>550.47213999398673</v>
      </c>
      <c r="AD18">
        <f>PnL(($D$7*(1+AD$2)),$E18,(RiskSlide!$A$7),($G18+AD$3),((RiskSlide!$A$10)/260),$C18,$B18,RiskSlide!$H47)</f>
        <v>262.29378966997245</v>
      </c>
      <c r="AE18">
        <f>PnL(($D$7*(1+AE$2)),$E18,(RiskSlide!$A$7),($G18+AE$3),((RiskSlide!$A$10)/260),$C18,$B18,RiskSlide!$H47)</f>
        <v>101.31129998099624</v>
      </c>
      <c r="AF18">
        <f>PnL(($D$7*(1+AF$2)),$E18,(RiskSlide!$A$7),($G18+AF$3),((RiskSlide!$A$10)/260),$C18,$B18,RiskSlide!$H47)</f>
        <v>85.672347487872003</v>
      </c>
      <c r="AG18">
        <f>PnL(($D$7*(1+AG$2)),$E18,(RiskSlide!$A$7),($G18+AG$3),((RiskSlide!$A$10)/260),$C18,$B18,RiskSlide!$H47)</f>
        <v>71.018898256626528</v>
      </c>
      <c r="AH18">
        <f>PnL(($D$7*(1+AH$2)),$E18,(RiskSlide!$A$7),($G18+AH$3),((RiskSlide!$A$10)/260),$C18,$B18,RiskSlide!$H47)</f>
        <v>57.341423961450744</v>
      </c>
      <c r="AI18">
        <f>PnL(($D$7*(1+AI$2)),$E18,(RiskSlide!$A$7),($G18+AI$3),((RiskSlide!$A$10)/260),$C18,$B18,RiskSlide!$H47)</f>
        <v>44.627714312832722</v>
      </c>
      <c r="AJ18">
        <f>PnL(($D$7*(1+AJ$2)),$E18,(RiskSlide!$A$7),($G18+AJ$3),((RiskSlide!$A$10)/260),$C18,$B18,RiskSlide!$H47)</f>
        <v>-24.848773327053664</v>
      </c>
      <c r="AK18">
        <f>PnL(($D$7*(1+AK$2)),$E18,(RiskSlide!$A$7),($G18+AK$3),((RiskSlide!$A$10)/260),$C18,$B18,RiskSlide!$H47)</f>
        <v>-51.59560367271667</v>
      </c>
      <c r="AL18">
        <f>PnL(($D$7*(1+AL$2)),$E18,(RiskSlide!$A$7),($G18+AL$3),((RiskSlide!$A$10)/260),$C18,$B18,RiskSlide!$H47)</f>
        <v>417.69148061814718</v>
      </c>
      <c r="AM18">
        <f>PnL(($D$7*(1+AM$2)),$E18,(RiskSlide!$A$7),($G18+AM$3),((RiskSlide!$A$10)/260),$C18,$B18,RiskSlide!$H47)</f>
        <v>177.57178616089533</v>
      </c>
      <c r="AN18">
        <f>PnL(($D$7*(1+AN$2)),$E18,(RiskSlide!$A$7),($G18+AN$3),((RiskSlide!$A$10)/260),$C18,$B18,RiskSlide!$H47)</f>
        <v>51.43591427244445</v>
      </c>
      <c r="AO18">
        <f>PnL(($D$7*(1+AO$2)),$E18,(RiskSlide!$A$7),($G18+AO$3),((RiskSlide!$A$10)/260),$C18,$B18,RiskSlide!$H47)</f>
        <v>39.718697980312356</v>
      </c>
      <c r="AP18">
        <f>PnL(($D$7*(1+AP$2)),$E18,(RiskSlide!$A$7),($G18+AP$3),((RiskSlide!$A$10)/260),$C18,$B18,RiskSlide!$H47)</f>
        <v>28.862365257451472</v>
      </c>
      <c r="AQ18">
        <f>PnL(($D$7*(1+AQ$2)),$E18,(RiskSlide!$A$7),($G18+AQ$3),((RiskSlide!$A$10)/260),$C18,$B18,RiskSlide!$H47)</f>
        <v>18.848802908093631</v>
      </c>
      <c r="AR18">
        <f>PnL(($D$7*(1+AR$2)),$E18,(RiskSlide!$A$7),($G18+AR$3),((RiskSlide!$A$10)/260),$C18,$B18,RiskSlide!$H47)</f>
        <v>9.6573461470583766</v>
      </c>
      <c r="AS18">
        <f>PnL(($D$7*(1+AS$2)),$E18,(RiskSlide!$A$7),($G18+AS$3),((RiskSlide!$A$10)/260),$C18,$B18,RiskSlide!$H47)</f>
        <v>-37.619466132969137</v>
      </c>
      <c r="AT18">
        <f>PnL(($D$7*(1+AT$2)),$E18,(RiskSlide!$A$7),($G18+AT$3),((RiskSlide!$A$10)/260),$C18,$B18,RiskSlide!$H47)</f>
        <v>-52.794220188809724</v>
      </c>
      <c r="AU18">
        <f>PnL(($D$7*(1+AU$2)),$E18,(RiskSlide!$A$7),($G18+AU$3),((RiskSlide!$A$10)/260),$C18,$B18,RiskSlide!$H47)</f>
        <v>310.95929060896736</v>
      </c>
      <c r="AV18">
        <f>PnL(($D$7*(1+AV$2)),$E18,(RiskSlide!$A$7),($G18+AV$3),((RiskSlide!$A$10)/260),$C18,$B18,RiskSlide!$H47)</f>
        <v>113.54625633784678</v>
      </c>
      <c r="AW18">
        <f>PnL(($D$7*(1+AW$2)),$E18,(RiskSlide!$A$7),($G18+AW$3),((RiskSlide!$A$10)/260),$C18,$B18,RiskSlide!$H47)</f>
        <v>16.457378131686795</v>
      </c>
      <c r="AX18">
        <f>PnL(($D$7*(1+AX$2)),$E18,(RiskSlide!$A$7),($G18+AX$3),((RiskSlide!$A$10)/260),$C18,$B18,RiskSlide!$H47)</f>
        <v>7.8653808584427054</v>
      </c>
      <c r="AY18">
        <f>PnL(($D$7*(1+AY$2)),$E18,(RiskSlide!$A$7),($G18+AY$3),((RiskSlide!$A$10)/260),$C18,$B18,RiskSlide!$H47)</f>
        <v>0</v>
      </c>
      <c r="AZ18">
        <f>PnL(($D$7*(1+AZ$2)),$E18,(RiskSlide!$A$7),($G18+AZ$3),((RiskSlide!$A$10)/260),$C18,$B18,RiskSlide!$H47)</f>
        <v>-7.1628183515869637</v>
      </c>
      <c r="BA18">
        <f>PnL(($D$7*(1+BA$2)),$E18,(RiskSlide!$A$7),($G18+BA$3),((RiskSlide!$A$10)/260),$C18,$B18,RiskSlide!$H47)</f>
        <v>-13.649245208470262</v>
      </c>
      <c r="BB18">
        <f>PnL(($D$7*(1+BB$2)),$E18,(RiskSlide!$A$7),($G18+BB$3),((RiskSlide!$A$10)/260),$C18,$B18,RiskSlide!$H47)</f>
        <v>-44.962455844750338</v>
      </c>
      <c r="BC18">
        <f>PnL(($D$7*(1+BC$2)),$E18,(RiskSlide!$A$7),($G18+BC$3),((RiskSlide!$A$10)/260),$C18,$B18,RiskSlide!$H47)</f>
        <v>-53.276004152323765</v>
      </c>
      <c r="BD18">
        <f>PnL(($D$7*(1+BD$2)),$E18,(RiskSlide!$A$7),($G18+BD$3),((RiskSlide!$A$10)/260),$C18,$B18,RiskSlide!$H47)</f>
        <v>225.99218544260538</v>
      </c>
      <c r="BE18">
        <f>PnL(($D$7*(1+BE$2)),$E18,(RiskSlide!$A$7),($G18+BE$3),((RiskSlide!$A$10)/260),$C18,$B18,RiskSlide!$H47)</f>
        <v>65.807295290032641</v>
      </c>
      <c r="BF18">
        <f>PnL(($D$7*(1+BF$2)),$E18,(RiskSlide!$A$7),($G18+BF$3),((RiskSlide!$A$10)/260),$C18,$B18,RiskSlide!$H47)</f>
        <v>-7.6322611569842991</v>
      </c>
      <c r="BG18">
        <f>PnL(($D$7*(1+BG$2)),$E18,(RiskSlide!$A$7),($G18+BG$3),((RiskSlide!$A$10)/260),$C18,$B18,RiskSlide!$H47)</f>
        <v>-13.800492632924488</v>
      </c>
      <c r="BH18">
        <f>PnL(($D$7*(1+BH$2)),$E18,(RiskSlide!$A$7),($G18+BH$3),((RiskSlide!$A$10)/260),$C18,$B18,RiskSlide!$H47)</f>
        <v>-19.374907386004381</v>
      </c>
      <c r="BI18">
        <f>PnL(($D$7*(1+BI$2)),$E18,(RiskSlide!$A$7),($G18+BI$3),((RiskSlide!$A$10)/260),$C18,$B18,RiskSlide!$H47)</f>
        <v>-24.382712839010523</v>
      </c>
      <c r="BJ18">
        <f>PnL(($D$7*(1+BJ$2)),$E18,(RiskSlide!$A$7),($G18+BJ$3),((RiskSlide!$A$10)/260),$C18,$B18,RiskSlide!$H47)</f>
        <v>-28.852611794056671</v>
      </c>
      <c r="BK18">
        <f>PnL(($D$7*(1+BK$2)),$E18,(RiskSlide!$A$7),($G18+BK$3),((RiskSlide!$A$10)/260),$C18,$B18,RiskSlide!$H47)</f>
        <v>-49.054808189009158</v>
      </c>
      <c r="BL18">
        <f>PnL(($D$7*(1+BL$2)),$E18,(RiskSlide!$A$7),($G18+BL$3),((RiskSlide!$A$10)/260),$C18,$B18,RiskSlide!$H47)</f>
        <v>-53.459180381033875</v>
      </c>
      <c r="BM18">
        <f>PnL(($D$7*(1+BM$2)),$E18,(RiskSlide!$A$7),($G18+BM$3),((RiskSlide!$A$10)/260),$C18,$B18,RiskSlide!$H47)</f>
        <v>159.00077658970844</v>
      </c>
      <c r="BN18">
        <f>PnL(($D$7*(1+BN$2)),$E18,(RiskSlide!$A$7),($G18+BN$3),((RiskSlide!$A$10)/260),$C18,$B18,RiskSlide!$H47)</f>
        <v>30.684949122718308</v>
      </c>
      <c r="BO18">
        <f>PnL(($D$7*(1+BO$2)),$E18,(RiskSlide!$A$7),($G18+BO$3),((RiskSlide!$A$10)/260),$C18,$B18,RiskSlide!$H47)</f>
        <v>-23.92578469462876</v>
      </c>
      <c r="BP18">
        <f>PnL(($D$7*(1+BP$2)),$E18,(RiskSlide!$A$7),($G18+BP$3),((RiskSlide!$A$10)/260),$C18,$B18,RiskSlide!$H47)</f>
        <v>-28.262545040550791</v>
      </c>
      <c r="BQ18">
        <f>PnL(($D$7*(1+BQ$2)),$E18,(RiskSlide!$A$7),($G18+BQ$3),((RiskSlide!$A$10)/260),$C18,$B18,RiskSlide!$H47)</f>
        <v>-32.128605306124669</v>
      </c>
      <c r="BR18">
        <f>PnL(($D$7*(1+BR$2)),$E18,(RiskSlide!$A$7),($G18+BR$3),((RiskSlide!$A$10)/260),$C18,$B18,RiskSlide!$H47)</f>
        <v>-35.551802505279539</v>
      </c>
      <c r="BS18">
        <f>PnL(($D$7*(1+BS$2)),$E18,(RiskSlide!$A$7),($G18+BS$3),((RiskSlide!$A$10)/260),$C18,$B18,RiskSlide!$H47)</f>
        <v>-38.56078666766809</v>
      </c>
      <c r="BT18">
        <f>PnL(($D$7*(1+BT$2)),$E18,(RiskSlide!$A$7),($G18+BT$3),((RiskSlide!$A$10)/260),$C18,$B18,RiskSlide!$H47)</f>
        <v>-51.265907900398759</v>
      </c>
      <c r="BU18">
        <f>PnL(($D$7*(1+BU$2)),$E18,(RiskSlide!$A$7),($G18+BU$3),((RiskSlide!$A$10)/260),$C18,$B18,RiskSlide!$H47)</f>
        <v>-53.525088824442314</v>
      </c>
      <c r="BV18">
        <f>PnL(($D$7*(1+BV$2)),$E18,(RiskSlide!$A$7),($G18+BV$3),((RiskSlide!$A$10)/260),$C18,$B18,RiskSlide!$H47)</f>
        <v>-36.058516951893615</v>
      </c>
      <c r="BW18">
        <f>PnL(($D$7*(1+BW$2)),$E18,(RiskSlide!$A$7),($G18+BW$3),((RiskSlide!$A$10)/260),$C18,$B18,RiskSlide!$H47)</f>
        <v>-50.180484451268192</v>
      </c>
      <c r="BX18">
        <f>PnL(($D$7*(1+BX$2)),$E18,(RiskSlide!$A$7),($G18+BX$3),((RiskSlide!$A$10)/260),$C18,$B18,RiskSlide!$H47)</f>
        <v>-53.06185759035219</v>
      </c>
      <c r="BY18">
        <f>PnL(($D$7*(1+BY$2)),$E18,(RiskSlide!$A$7),($G18+BY$3),((RiskSlide!$A$10)/260),$C18,$B18,RiskSlide!$H47)</f>
        <v>-53.188663354593402</v>
      </c>
      <c r="BZ18">
        <f>PnL(($D$7*(1+BZ$2)),$E18,(RiskSlide!$A$7),($G18+BZ$3),((RiskSlide!$A$10)/260),$C18,$B18,RiskSlide!$H47)</f>
        <v>-53.287257237141027</v>
      </c>
      <c r="CA18">
        <f>PnL(($D$7*(1+CA$2)),$E18,(RiskSlide!$A$7),($G18+CA$3),((RiskSlide!$A$10)/260),$C18,$B18,RiskSlide!$H47)</f>
        <v>-53.362788684540476</v>
      </c>
      <c r="CB18">
        <f>PnL(($D$7*(1+CB$2)),$E18,(RiskSlide!$A$7),($G18+CB$3),((RiskSlide!$A$10)/260),$C18,$B18,RiskSlide!$H47)</f>
        <v>-53.419734029933799</v>
      </c>
      <c r="CC18">
        <f>PnL(($D$7*(1+CC$2)),$E18,(RiskSlide!$A$7),($G18+CC$3),((RiskSlide!$A$10)/260),$C18,$B18,RiskSlide!$H47)</f>
        <v>-53.554164423606366</v>
      </c>
      <c r="CD18">
        <f>PnL(($D$7*(1+CD$2)),$E18,(RiskSlide!$A$7),($G18+CD$3),((RiskSlide!$A$10)/260),$C18,$B18,RiskSlide!$H47)</f>
        <v>-53.557888989727118</v>
      </c>
      <c r="CE18">
        <f>PnL(($D$7*(1+CE$2)),$E18,(RiskSlide!$A$7),($G18+CE$3),((RiskSlide!$A$10)/260),$C18,$B18,RiskSlide!$H47)</f>
        <v>-53.187632698007107</v>
      </c>
      <c r="CF18">
        <f>PnL(($D$7*(1+CF$2)),$E18,(RiskSlide!$A$7),($G18+CF$3),((RiskSlide!$A$10)/260),$C18,$B18,RiskSlide!$H47)</f>
        <v>-53.536192145373072</v>
      </c>
      <c r="CG18">
        <f>PnL(($D$7*(1+CG$2)),$E18,(RiskSlide!$A$7),($G18+CG$3),((RiskSlide!$A$10)/260),$C18,$B18,RiskSlide!$H47)</f>
        <v>-53.557148878716475</v>
      </c>
      <c r="CH18">
        <f>PnL(($D$7*(1+CH$2)),$E18,(RiskSlide!$A$7),($G18+CH$3),((RiskSlide!$A$10)/260),$C18,$B18,RiskSlide!$H47)</f>
        <v>-53.55745145180245</v>
      </c>
      <c r="CI18">
        <f>PnL(($D$7*(1+CI$2)),$E18,(RiskSlide!$A$7),($G18+CI$3),((RiskSlide!$A$10)/260),$C18,$B18,RiskSlide!$H47)</f>
        <v>-53.557637789234825</v>
      </c>
      <c r="CJ18">
        <f>PnL(($D$7*(1+CJ$2)),$E18,(RiskSlide!$A$7),($G18+CJ$3),((RiskSlide!$A$10)/260),$C18,$B18,RiskSlide!$H47)</f>
        <v>-53.557749320526092</v>
      </c>
      <c r="CK18">
        <f>PnL(($D$7*(1+CK$2)),$E18,(RiskSlide!$A$7),($G18+CK$3),((RiskSlide!$A$10)/260),$C18,$B18,RiskSlide!$H47)</f>
        <v>-53.557814054728091</v>
      </c>
      <c r="CL18">
        <f>PnL(($D$7*(1+CL$2)),$E18,(RiskSlide!$A$7),($G18+CL$3),((RiskSlide!$A$10)/260),$C18,$B18,RiskSlide!$H47)</f>
        <v>-53.557889657093725</v>
      </c>
      <c r="CM18">
        <f>PnL(($D$7*(1+CM$2)),$E18,(RiskSlide!$A$7),($G18+CM$3),((RiskSlide!$A$10)/260),$C18,$B18,RiskSlide!$H47)</f>
        <v>-53.557889766516077</v>
      </c>
    </row>
    <row r="19" spans="1:91" x14ac:dyDescent="0.25">
      <c r="A19" t="s">
        <v>14</v>
      </c>
      <c r="B19">
        <v>-5</v>
      </c>
      <c r="C19">
        <v>0</v>
      </c>
      <c r="E19">
        <v>1665</v>
      </c>
      <c r="F19">
        <v>3.5000000000000001E-3</v>
      </c>
      <c r="G19">
        <v>0.252743</v>
      </c>
      <c r="K19">
        <f>PnL(($D$7*(1+K$2)),$E19,(RiskSlide!$A$7),($G19+K$3),((RiskSlide!$A$10)/260),$C19,$B19,RiskSlide!$H48)</f>
        <v>-17178.727654291863</v>
      </c>
      <c r="L19">
        <f>PnL(($D$7*(1+L$2)),$E19,(RiskSlide!$A$7),($G19+L$3),((RiskSlide!$A$10)/260),$C19,$B19,RiskSlide!$H48)</f>
        <v>-16519.207854356155</v>
      </c>
      <c r="M19">
        <f>PnL(($D$7*(1+M$2)),$E19,(RiskSlide!$A$7),($G19+M$3),((RiskSlide!$A$10)/260),$C19,$B19,RiskSlide!$H48)</f>
        <v>-16063.242256185362</v>
      </c>
      <c r="N19">
        <f>PnL(($D$7*(1+N$2)),$E19,(RiskSlide!$A$7),($G19+N$3),((RiskSlide!$A$10)/260),$C19,$B19,RiskSlide!$H48)</f>
        <v>-16011.733541920563</v>
      </c>
      <c r="O19">
        <f>PnL(($D$7*(1+O$2)),$E19,(RiskSlide!$A$7),($G19+O$3),((RiskSlide!$A$10)/260),$C19,$B19,RiskSlide!$H48)</f>
        <v>-15961.579752362497</v>
      </c>
      <c r="P19">
        <f>PnL(($D$7*(1+P$2)),$E19,(RiskSlide!$A$7),($G19+P$3),((RiskSlide!$A$10)/260),$C19,$B19,RiskSlide!$H48)</f>
        <v>-15912.82400597683</v>
      </c>
      <c r="Q19">
        <f>PnL(($D$7*(1+Q$2)),$E19,(RiskSlide!$A$7),($G19+Q$3),((RiskSlide!$A$10)/260),$C19,$B19,RiskSlide!$H48)</f>
        <v>-15865.510062715572</v>
      </c>
      <c r="R19">
        <f>PnL(($D$7*(1+R$2)),$E19,(RiskSlide!$A$7),($G19+R$3),((RiskSlide!$A$10)/260),$C19,$B19,RiskSlide!$H48)</f>
        <v>-15544.199969038147</v>
      </c>
      <c r="S19">
        <f>PnL(($D$7*(1+S$2)),$E19,(RiskSlide!$A$7),($G19+S$3),((RiskSlide!$A$10)/260),$C19,$B19,RiskSlide!$H48)</f>
        <v>-15306.046795424862</v>
      </c>
      <c r="T19">
        <f>PnL(($D$7*(1+T$2)),$E19,(RiskSlide!$A$7),($G19+T$3),((RiskSlide!$A$10)/260),$C19,$B19,RiskSlide!$H48)</f>
        <v>-4290.9901041712137</v>
      </c>
      <c r="U19">
        <f>PnL(($D$7*(1+U$2)),$E19,(RiskSlide!$A$7),($G19+U$3),((RiskSlide!$A$10)/260),$C19,$B19,RiskSlide!$H48)</f>
        <v>-3336.2431413603695</v>
      </c>
      <c r="V19">
        <f>PnL(($D$7*(1+V$2)),$E19,(RiskSlide!$A$7),($G19+V$3),((RiskSlide!$A$10)/260),$C19,$B19,RiskSlide!$H48)</f>
        <v>-2594.0064686525084</v>
      </c>
      <c r="W19">
        <f>PnL(($D$7*(1+W$2)),$E19,(RiskSlide!$A$7),($G19+W$3),((RiskSlide!$A$10)/260),$C19,$B19,RiskSlide!$H48)</f>
        <v>-2503.032978607634</v>
      </c>
      <c r="X19">
        <f>PnL(($D$7*(1+X$2)),$E19,(RiskSlide!$A$7),($G19+X$3),((RiskSlide!$A$10)/260),$C19,$B19,RiskSlide!$H48)</f>
        <v>-2412.5334076895647</v>
      </c>
      <c r="Y19">
        <f>PnL(($D$7*(1+Y$2)),$E19,(RiskSlide!$A$7),($G19+Y$3),((RiskSlide!$A$10)/260),$C19,$B19,RiskSlide!$H48)</f>
        <v>-2322.5337874227839</v>
      </c>
      <c r="Z19">
        <f>PnL(($D$7*(1+Z$2)),$E19,(RiskSlide!$A$7),($G19+Z$3),((RiskSlide!$A$10)/260),$C19,$B19,RiskSlide!$H48)</f>
        <v>-2233.0620230750633</v>
      </c>
      <c r="AA19">
        <f>PnL(($D$7*(1+AA$2)),$E19,(RiskSlide!$A$7),($G19+AA$3),((RiskSlide!$A$10)/260),$C19,$B19,RiskSlide!$H48)</f>
        <v>-1540.4047001592992</v>
      </c>
      <c r="AB19">
        <f>PnL(($D$7*(1+AB$2)),$E19,(RiskSlide!$A$7),($G19+AB$3),((RiskSlide!$A$10)/260),$C19,$B19,RiskSlide!$H48)</f>
        <v>-761.7893533694504</v>
      </c>
      <c r="AC19">
        <f>PnL(($D$7*(1+AC$2)),$E19,(RiskSlide!$A$7),($G19+AC$3),((RiskSlide!$A$10)/260),$C19,$B19,RiskSlide!$H48)</f>
        <v>-741.601660436678</v>
      </c>
      <c r="AD19">
        <f>PnL(($D$7*(1+AD$2)),$E19,(RiskSlide!$A$7),($G19+AD$3),((RiskSlide!$A$10)/260),$C19,$B19,RiskSlide!$H48)</f>
        <v>-357.13797394333733</v>
      </c>
      <c r="AE19">
        <f>PnL(($D$7*(1+AE$2)),$E19,(RiskSlide!$A$7),($G19+AE$3),((RiskSlide!$A$10)/260),$C19,$B19,RiskSlide!$H48)</f>
        <v>-139.62667534358442</v>
      </c>
      <c r="AF19">
        <f>PnL(($D$7*(1+AF$2)),$E19,(RiskSlide!$A$7),($G19+AF$3),((RiskSlide!$A$10)/260),$C19,$B19,RiskSlide!$H48)</f>
        <v>-118.33842673803741</v>
      </c>
      <c r="AG19">
        <f>PnL(($D$7*(1+AG$2)),$E19,(RiskSlide!$A$7),($G19+AG$3),((RiskSlide!$A$10)/260),$C19,$B19,RiskSlide!$H48)</f>
        <v>-98.359791286152472</v>
      </c>
      <c r="AH19">
        <f>PnL(($D$7*(1+AH$2)),$E19,(RiskSlide!$A$7),($G19+AH$3),((RiskSlide!$A$10)/260),$C19,$B19,RiskSlide!$H48)</f>
        <v>-79.68211882295239</v>
      </c>
      <c r="AI19">
        <f>PnL(($D$7*(1+AI$2)),$E19,(RiskSlide!$A$7),($G19+AI$3),((RiskSlide!$A$10)/260),$C19,$B19,RiskSlide!$H48)</f>
        <v>-62.293169634995316</v>
      </c>
      <c r="AJ19">
        <f>PnL(($D$7*(1+AJ$2)),$E19,(RiskSlide!$A$7),($G19+AJ$3),((RiskSlide!$A$10)/260),$C19,$B19,RiskSlide!$H48)</f>
        <v>33.267655992407441</v>
      </c>
      <c r="AK19">
        <f>PnL(($D$7*(1+AK$2)),$E19,(RiskSlide!$A$7),($G19+AK$3),((RiskSlide!$A$10)/260),$C19,$B19,RiskSlide!$H48)</f>
        <v>70.154890399079463</v>
      </c>
      <c r="AL19">
        <f>PnL(($D$7*(1+AL$2)),$E19,(RiskSlide!$A$7),($G19+AL$3),((RiskSlide!$A$10)/260),$C19,$B19,RiskSlide!$H48)</f>
        <v>-561.93689612842149</v>
      </c>
      <c r="AM19">
        <f>PnL(($D$7*(1+AM$2)),$E19,(RiskSlide!$A$7),($G19+AM$3),((RiskSlide!$A$10)/260),$C19,$B19,RiskSlide!$H48)</f>
        <v>-241.11479544892501</v>
      </c>
      <c r="AN19">
        <f>PnL(($D$7*(1+AN$2)),$E19,(RiskSlide!$A$7),($G19+AN$3),((RiskSlide!$A$10)/260),$C19,$B19,RiskSlide!$H48)</f>
        <v>-70.610492817604779</v>
      </c>
      <c r="AO19">
        <f>PnL(($D$7*(1+AO$2)),$E19,(RiskSlide!$A$7),($G19+AO$3),((RiskSlide!$A$10)/260),$C19,$B19,RiskSlide!$H48)</f>
        <v>-54.66950003133686</v>
      </c>
      <c r="AP19">
        <f>PnL(($D$7*(1+AP$2)),$E19,(RiskSlide!$A$7),($G19+AP$3),((RiskSlide!$A$10)/260),$C19,$B19,RiskSlide!$H48)</f>
        <v>-39.880806313218109</v>
      </c>
      <c r="AQ19">
        <f>PnL(($D$7*(1+AQ$2)),$E19,(RiskSlide!$A$7),($G19+AQ$3),((RiskSlide!$A$10)/260),$C19,$B19,RiskSlide!$H48)</f>
        <v>-26.223275999949003</v>
      </c>
      <c r="AR19">
        <f>PnL(($D$7*(1+AR$2)),$E19,(RiskSlide!$A$7),($G19+AR$3),((RiskSlide!$A$10)/260),$C19,$B19,RiskSlide!$H48)</f>
        <v>-13.672224370453456</v>
      </c>
      <c r="AS19">
        <f>PnL(($D$7*(1+AS$2)),$E19,(RiskSlide!$A$7),($G19+AS$3),((RiskSlide!$A$10)/260),$C19,$B19,RiskSlide!$H48)</f>
        <v>51.096323597983329</v>
      </c>
      <c r="AT19">
        <f>PnL(($D$7*(1+AT$2)),$E19,(RiskSlide!$A$7),($G19+AT$3),((RiskSlide!$A$10)/260),$C19,$B19,RiskSlide!$H48)</f>
        <v>71.761513791612529</v>
      </c>
      <c r="AU19">
        <f>PnL(($D$7*(1+AU$2)),$E19,(RiskSlide!$A$7),($G19+AU$3),((RiskSlide!$A$10)/260),$C19,$B19,RiskSlide!$H48)</f>
        <v>-417.5323363893346</v>
      </c>
      <c r="AV19">
        <f>PnL(($D$7*(1+AV$2)),$E19,(RiskSlide!$A$7),($G19+AV$3),((RiskSlide!$A$10)/260),$C19,$B19,RiskSlide!$H48)</f>
        <v>-153.53911243722339</v>
      </c>
      <c r="AW19">
        <f>PnL(($D$7*(1+AW$2)),$E19,(RiskSlide!$A$7),($G19+AW$3),((RiskSlide!$A$10)/260),$C19,$B19,RiskSlide!$H48)</f>
        <v>-22.36041498020569</v>
      </c>
      <c r="AX19">
        <f>PnL(($D$7*(1+AX$2)),$E19,(RiskSlide!$A$7),($G19+AX$3),((RiskSlide!$A$10)/260),$C19,$B19,RiskSlide!$H48)</f>
        <v>-10.691569782492749</v>
      </c>
      <c r="AY19">
        <f>PnL(($D$7*(1+AY$2)),$E19,(RiskSlide!$A$7),($G19+AY$3),((RiskSlide!$A$10)/260),$C19,$B19,RiskSlide!$H48)</f>
        <v>0</v>
      </c>
      <c r="AZ19">
        <f>PnL(($D$7*(1+AZ$2)),$E19,(RiskSlide!$A$7),($G19+AZ$3),((RiskSlide!$A$10)/260),$C19,$B19,RiskSlide!$H48)</f>
        <v>9.7444278758960223</v>
      </c>
      <c r="BA19">
        <f>PnL(($D$7*(1+BA$2)),$E19,(RiskSlide!$A$7),($G19+BA$3),((RiskSlide!$A$10)/260),$C19,$B19,RiskSlide!$H48)</f>
        <v>18.574887500807158</v>
      </c>
      <c r="BB19">
        <f>PnL(($D$7*(1+BB$2)),$E19,(RiskSlide!$A$7),($G19+BB$3),((RiskSlide!$A$10)/260),$C19,$B19,RiskSlide!$H48)</f>
        <v>61.231353632049455</v>
      </c>
      <c r="BC19">
        <f>PnL(($D$7*(1+BC$2)),$E19,(RiskSlide!$A$7),($G19+BC$3),((RiskSlide!$A$10)/260),$C19,$B19,RiskSlide!$H48)</f>
        <v>72.38452909864624</v>
      </c>
      <c r="BD19">
        <f>PnL(($D$7*(1+BD$2)),$E19,(RiskSlide!$A$7),($G19+BD$3),((RiskSlide!$A$10)/260),$C19,$B19,RiskSlide!$H48)</f>
        <v>-302.62855189418315</v>
      </c>
      <c r="BE19">
        <f>PnL(($D$7*(1+BE$2)),$E19,(RiskSlide!$A$7),($G19+BE$3),((RiskSlide!$A$10)/260),$C19,$B19,RiskSlide!$H48)</f>
        <v>-88.357749272423007</v>
      </c>
      <c r="BF19">
        <f>PnL(($D$7*(1+BF$2)),$E19,(RiskSlide!$A$7),($G19+BF$3),((RiskSlide!$A$10)/260),$C19,$B19,RiskSlide!$H48)</f>
        <v>10.733330651419237</v>
      </c>
      <c r="BG19">
        <f>PnL(($D$7*(1+BG$2)),$E19,(RiskSlide!$A$7),($G19+BG$3),((RiskSlide!$A$10)/260),$C19,$B19,RiskSlide!$H48)</f>
        <v>19.086076434796873</v>
      </c>
      <c r="BH19">
        <f>PnL(($D$7*(1+BH$2)),$E19,(RiskSlide!$A$7),($G19+BH$3),((RiskSlide!$A$10)/260),$C19,$B19,RiskSlide!$H48)</f>
        <v>26.638019199528351</v>
      </c>
      <c r="BI19">
        <f>PnL(($D$7*(1+BI$2)),$E19,(RiskSlide!$A$7),($G19+BI$3),((RiskSlide!$A$10)/260),$C19,$B19,RiskSlide!$H48)</f>
        <v>33.424422025732703</v>
      </c>
      <c r="BJ19">
        <f>PnL(($D$7*(1+BJ$2)),$E19,(RiskSlide!$A$7),($G19+BJ$3),((RiskSlide!$A$10)/260),$C19,$B19,RiskSlide!$H48)</f>
        <v>39.482769382636285</v>
      </c>
      <c r="BK19">
        <f>PnL(($D$7*(1+BK$2)),$E19,(RiskSlide!$A$7),($G19+BK$3),((RiskSlide!$A$10)/260),$C19,$B19,RiskSlide!$H48)</f>
        <v>66.803699185447812</v>
      </c>
      <c r="BL19">
        <f>PnL(($D$7*(1+BL$2)),$E19,(RiskSlide!$A$7),($G19+BL$3),((RiskSlide!$A$10)/260),$C19,$B19,RiskSlide!$H48)</f>
        <v>72.611879250688418</v>
      </c>
      <c r="BM19">
        <f>PnL(($D$7*(1+BM$2)),$E19,(RiskSlide!$A$7),($G19+BM$3),((RiskSlide!$A$10)/260),$C19,$B19,RiskSlide!$H48)</f>
        <v>-212.10958150268678</v>
      </c>
      <c r="BN19">
        <f>PnL(($D$7*(1+BN$2)),$E19,(RiskSlide!$A$7),($G19+BN$3),((RiskSlide!$A$10)/260),$C19,$B19,RiskSlide!$H48)</f>
        <v>-40.517838575065745</v>
      </c>
      <c r="BO19">
        <f>PnL(($D$7*(1+BO$2)),$E19,(RiskSlide!$A$7),($G19+BO$3),((RiskSlide!$A$10)/260),$C19,$B19,RiskSlide!$H48)</f>
        <v>33.004101183392365</v>
      </c>
      <c r="BP19">
        <f>PnL(($D$7*(1+BP$2)),$E19,(RiskSlide!$A$7),($G19+BP$3),((RiskSlide!$A$10)/260),$C19,$B19,RiskSlide!$H48)</f>
        <v>38.852925927222337</v>
      </c>
      <c r="BQ19">
        <f>PnL(($D$7*(1+BQ$2)),$E19,(RiskSlide!$A$7),($G19+BQ$3),((RiskSlide!$A$10)/260),$C19,$B19,RiskSlide!$H48)</f>
        <v>44.066511896581062</v>
      </c>
      <c r="BR19">
        <f>PnL(($D$7*(1+BR$2)),$E19,(RiskSlide!$A$7),($G19+BR$3),((RiskSlide!$A$10)/260),$C19,$B19,RiskSlide!$H48)</f>
        <v>48.681637118168638</v>
      </c>
      <c r="BS19">
        <f>PnL(($D$7*(1+BS$2)),$E19,(RiskSlide!$A$7),($G19+BS$3),((RiskSlide!$A$10)/260),$C19,$B19,RiskSlide!$H48)</f>
        <v>52.736357618365929</v>
      </c>
      <c r="BT19">
        <f>PnL(($D$7*(1+BT$2)),$E19,(RiskSlide!$A$7),($G19+BT$3),((RiskSlide!$A$10)/260),$C19,$B19,RiskSlide!$H48)</f>
        <v>69.767516447816874</v>
      </c>
      <c r="BU19">
        <f>PnL(($D$7*(1+BU$2)),$E19,(RiskSlide!$A$7),($G19+BU$3),((RiskSlide!$A$10)/260),$C19,$B19,RiskSlide!$H48)</f>
        <v>72.689992631862694</v>
      </c>
      <c r="BV19">
        <f>PnL(($D$7*(1+BV$2)),$E19,(RiskSlide!$A$7),($G19+BV$3),((RiskSlide!$A$10)/260),$C19,$B19,RiskSlide!$H48)</f>
        <v>49.925292633386405</v>
      </c>
      <c r="BW19">
        <f>PnL(($D$7*(1+BW$2)),$E19,(RiskSlide!$A$7),($G19+BW$3),((RiskSlide!$A$10)/260),$C19,$B19,RiskSlide!$H48)</f>
        <v>68.412485522875983</v>
      </c>
      <c r="BX19">
        <f>PnL(($D$7*(1+BX$2)),$E19,(RiskSlide!$A$7),($G19+BX$3),((RiskSlide!$A$10)/260),$C19,$B19,RiskSlide!$H48)</f>
        <v>72.116672415551818</v>
      </c>
      <c r="BY19">
        <f>PnL(($D$7*(1+BY$2)),$E19,(RiskSlide!$A$7),($G19+BY$3),((RiskSlide!$A$10)/260),$C19,$B19,RiskSlide!$H48)</f>
        <v>72.275817362840115</v>
      </c>
      <c r="BZ19">
        <f>PnL(($D$7*(1+BZ$2)),$E19,(RiskSlide!$A$7),($G19+BZ$3),((RiskSlide!$A$10)/260),$C19,$B19,RiskSlide!$H48)</f>
        <v>72.398751383863925</v>
      </c>
      <c r="CA19">
        <f>PnL(($D$7*(1+CA$2)),$E19,(RiskSlide!$A$7),($G19+CA$3),((RiskSlide!$A$10)/260),$C19,$B19,RiskSlide!$H48)</f>
        <v>72.492243445257643</v>
      </c>
      <c r="CB19">
        <f>PnL(($D$7*(1+CB$2)),$E19,(RiskSlide!$A$7),($G19+CB$3),((RiskSlide!$A$10)/260),$C19,$B19,RiskSlide!$H48)</f>
        <v>72.562154249917654</v>
      </c>
      <c r="CC19">
        <f>PnL(($D$7*(1+CC$2)),$E19,(RiskSlide!$A$7),($G19+CC$3),((RiskSlide!$A$10)/260),$C19,$B19,RiskSlide!$H48)</f>
        <v>72.722164378347927</v>
      </c>
      <c r="CD19">
        <f>PnL(($D$7*(1+CD$2)),$E19,(RiskSlide!$A$7),($G19+CD$3),((RiskSlide!$A$10)/260),$C19,$B19,RiskSlide!$H48)</f>
        <v>72.726015293265291</v>
      </c>
      <c r="CE19">
        <f>PnL(($D$7*(1+CE$2)),$E19,(RiskSlide!$A$7),($G19+CE$3),((RiskSlide!$A$10)/260),$C19,$B19,RiskSlide!$H48)</f>
        <v>72.274200893747945</v>
      </c>
      <c r="CF19">
        <f>PnL(($D$7*(1+CF$2)),$E19,(RiskSlide!$A$7),($G19+CF$3),((RiskSlide!$A$10)/260),$C19,$B19,RiskSlide!$H48)</f>
        <v>72.70128275472679</v>
      </c>
      <c r="CG19">
        <f>PnL(($D$7*(1+CG$2)),$E19,(RiskSlide!$A$7),($G19+CG$3),((RiskSlide!$A$10)/260),$C19,$B19,RiskSlide!$H48)</f>
        <v>72.725260798621449</v>
      </c>
      <c r="CH19">
        <f>PnL(($D$7*(1+CH$2)),$E19,(RiskSlide!$A$7),($G19+CH$3),((RiskSlide!$A$10)/260),$C19,$B19,RiskSlide!$H48)</f>
        <v>72.725578102608239</v>
      </c>
      <c r="CI19">
        <f>PnL(($D$7*(1+CI$2)),$E19,(RiskSlide!$A$7),($G19+CI$3),((RiskSlide!$A$10)/260),$C19,$B19,RiskSlide!$H48)</f>
        <v>72.725769696982837</v>
      </c>
      <c r="CJ19">
        <f>PnL(($D$7*(1+CJ$2)),$E19,(RiskSlide!$A$7),($G19+CJ$3),((RiskSlide!$A$10)/260),$C19,$B19,RiskSlide!$H48)</f>
        <v>72.725881917021283</v>
      </c>
      <c r="CK19">
        <f>PnL(($D$7*(1+CK$2)),$E19,(RiskSlide!$A$7),($G19+CK$3),((RiskSlide!$A$10)/260),$C19,$B19,RiskSlide!$H48)</f>
        <v>72.725945516887919</v>
      </c>
      <c r="CL19">
        <f>PnL(($D$7*(1+CL$2)),$E19,(RiskSlide!$A$7),($G19+CL$3),((RiskSlide!$A$10)/260),$C19,$B19,RiskSlide!$H48)</f>
        <v>72.726015696040179</v>
      </c>
      <c r="CM19">
        <f>PnL(($D$7*(1+CM$2)),$E19,(RiskSlide!$A$7),($G19+CM$3),((RiskSlide!$A$10)/260),$C19,$B19,RiskSlide!$H48)</f>
        <v>72.726015768098222</v>
      </c>
    </row>
    <row r="20" spans="1:91" x14ac:dyDescent="0.25">
      <c r="A20" t="s">
        <v>15</v>
      </c>
      <c r="B20">
        <v>6</v>
      </c>
      <c r="C20">
        <v>0</v>
      </c>
      <c r="E20">
        <v>1670</v>
      </c>
      <c r="F20">
        <v>3.5000000000000001E-3</v>
      </c>
      <c r="G20">
        <v>0.24610099999999999</v>
      </c>
      <c r="K20">
        <f>PnL(($D$7*(1+K$2)),$E20,(RiskSlide!$A$7),($G20+K$3),((RiskSlide!$A$10)/260),$C20,$B20,RiskSlide!$H49)</f>
        <v>21731.104387560717</v>
      </c>
      <c r="L20">
        <f>PnL(($D$7*(1+L$2)),$E20,(RiskSlide!$A$7),($G20+L$3),((RiskSlide!$A$10)/260),$C20,$B20,RiskSlide!$H49)</f>
        <v>21007.944507182139</v>
      </c>
      <c r="M20">
        <f>PnL(($D$7*(1+M$2)),$E20,(RiskSlide!$A$7),($G20+M$3),((RiskSlide!$A$10)/260),$C20,$B20,RiskSlide!$H49)</f>
        <v>20525.619867016496</v>
      </c>
      <c r="N20">
        <f>PnL(($D$7*(1+N$2)),$E20,(RiskSlide!$A$7),($G20+N$3),((RiskSlide!$A$10)/260),$C20,$B20,RiskSlide!$H49)</f>
        <v>20472.54485599809</v>
      </c>
      <c r="O20">
        <f>PnL(($D$7*(1+O$2)),$E20,(RiskSlide!$A$7),($G20+O$3),((RiskSlide!$A$10)/260),$C20,$B20,RiskSlide!$H49)</f>
        <v>20421.224955011268</v>
      </c>
      <c r="P20">
        <f>PnL(($D$7*(1+P$2)),$E20,(RiskSlide!$A$7),($G20+P$3),((RiskSlide!$A$10)/260),$C20,$B20,RiskSlide!$H49)</f>
        <v>20371.705828801201</v>
      </c>
      <c r="Q20">
        <f>PnL(($D$7*(1+Q$2)),$E20,(RiskSlide!$A$7),($G20+Q$3),((RiskSlide!$A$10)/260),$C20,$B20,RiskSlide!$H49)</f>
        <v>20324.032590178453</v>
      </c>
      <c r="R20">
        <f>PnL(($D$7*(1+R$2)),$E20,(RiskSlide!$A$7),($G20+R$3),((RiskSlide!$A$10)/260),$C20,$B20,RiskSlide!$H49)</f>
        <v>20013.991735940122</v>
      </c>
      <c r="S20">
        <f>PnL(($D$7*(1+S$2)),$E20,(RiskSlide!$A$7),($G20+S$3),((RiskSlide!$A$10)/260),$C20,$B20,RiskSlide!$H49)</f>
        <v>19815.208427982576</v>
      </c>
      <c r="T20">
        <f>PnL(($D$7*(1+T$2)),$E20,(RiskSlide!$A$7),($G20+T$3),((RiskSlide!$A$10)/260),$C20,$B20,RiskSlide!$H49)</f>
        <v>5543.5213555204655</v>
      </c>
      <c r="U20">
        <f>PnL(($D$7*(1+U$2)),$E20,(RiskSlide!$A$7),($G20+U$3),((RiskSlide!$A$10)/260),$C20,$B20,RiskSlide!$H49)</f>
        <v>4366.8502585157285</v>
      </c>
      <c r="V20">
        <f>PnL(($D$7*(1+V$2)),$E20,(RiskSlide!$A$7),($G20+V$3),((RiskSlide!$A$10)/260),$C20,$B20,RiskSlide!$H49)</f>
        <v>3444.6487989613952</v>
      </c>
      <c r="W20">
        <f>PnL(($D$7*(1+W$2)),$E20,(RiskSlide!$A$7),($G20+W$3),((RiskSlide!$A$10)/260),$C20,$B20,RiskSlide!$H49)</f>
        <v>3330.9981860523972</v>
      </c>
      <c r="X20">
        <f>PnL(($D$7*(1+X$2)),$E20,(RiskSlide!$A$7),($G20+X$3),((RiskSlide!$A$10)/260),$C20,$B20,RiskSlide!$H49)</f>
        <v>3217.7775415888273</v>
      </c>
      <c r="Y20">
        <f>PnL(($D$7*(1+Y$2)),$E20,(RiskSlide!$A$7),($G20+Y$3),((RiskSlide!$A$10)/260),$C20,$B20,RiskSlide!$H49)</f>
        <v>3105.0118783916328</v>
      </c>
      <c r="Z20">
        <f>PnL(($D$7*(1+Z$2)),$E20,(RiskSlide!$A$7),($G20+Z$3),((RiskSlide!$A$10)/260),$C20,$B20,RiskSlide!$H49)</f>
        <v>2992.7281399872636</v>
      </c>
      <c r="AA20">
        <f>PnL(($D$7*(1+AA$2)),$E20,(RiskSlide!$A$7),($G20+AA$3),((RiskSlide!$A$10)/260),$C20,$B20,RiskSlide!$H49)</f>
        <v>2115.8461676265911</v>
      </c>
      <c r="AB20">
        <f>PnL(($D$7*(1+AB$2)),$E20,(RiskSlide!$A$7),($G20+AB$3),((RiskSlide!$A$10)/260),$C20,$B20,RiskSlide!$H49)</f>
        <v>1103.350934609244</v>
      </c>
      <c r="AC20">
        <f>PnL(($D$7*(1+AC$2)),$E20,(RiskSlide!$A$7),($G20+AC$3),((RiskSlide!$A$10)/260),$C20,$B20,RiskSlide!$H49)</f>
        <v>960.3393056187482</v>
      </c>
      <c r="AD20">
        <f>PnL(($D$7*(1+AD$2)),$E20,(RiskSlide!$A$7),($G20+AD$3),((RiskSlide!$A$10)/260),$C20,$B20,RiskSlide!$H49)</f>
        <v>467.75313978957166</v>
      </c>
      <c r="AE20">
        <f>PnL(($D$7*(1+AE$2)),$E20,(RiskSlide!$A$7),($G20+AE$3),((RiskSlide!$A$10)/260),$C20,$B20,RiskSlide!$H49)</f>
        <v>185.28655664381228</v>
      </c>
      <c r="AF20">
        <f>PnL(($D$7*(1+AF$2)),$E20,(RiskSlide!$A$7),($G20+AF$3),((RiskSlide!$A$10)/260),$C20,$B20,RiskSlide!$H49)</f>
        <v>157.41739164920398</v>
      </c>
      <c r="AG20">
        <f>PnL(($D$7*(1+AG$2)),$E20,(RiskSlide!$A$7),($G20+AG$3),((RiskSlide!$A$10)/260),$C20,$B20,RiskSlide!$H49)</f>
        <v>131.21658230446764</v>
      </c>
      <c r="AH20">
        <f>PnL(($D$7*(1+AH$2)),$E20,(RiskSlide!$A$7),($G20+AH$3),((RiskSlide!$A$10)/260),$C20,$B20,RiskSlide!$H49)</f>
        <v>106.67864274659671</v>
      </c>
      <c r="AI20">
        <f>PnL(($D$7*(1+AI$2)),$E20,(RiskSlide!$A$7),($G20+AI$3),((RiskSlide!$A$10)/260),$C20,$B20,RiskSlide!$H49)</f>
        <v>83.793533520112007</v>
      </c>
      <c r="AJ20">
        <f>PnL(($D$7*(1+AJ$2)),$E20,(RiskSlide!$A$7),($G20+AJ$3),((RiskSlide!$A$10)/260),$C20,$B20,RiskSlide!$H49)</f>
        <v>-42.791720102382413</v>
      </c>
      <c r="AK20">
        <f>PnL(($D$7*(1+AK$2)),$E20,(RiskSlide!$A$7),($G20+AK$3),((RiskSlide!$A$10)/260),$C20,$B20,RiskSlide!$H49)</f>
        <v>-91.882884220630473</v>
      </c>
      <c r="AL20">
        <f>PnL(($D$7*(1+AL$2)),$E20,(RiskSlide!$A$7),($G20+AL$3),((RiskSlide!$A$10)/260),$C20,$B20,RiskSlide!$H49)</f>
        <v>726.68969515907202</v>
      </c>
      <c r="AM20">
        <f>PnL(($D$7*(1+AM$2)),$E20,(RiskSlide!$A$7),($G20+AM$3),((RiskSlide!$A$10)/260),$C20,$B20,RiskSlide!$H49)</f>
        <v>314.9216889085647</v>
      </c>
      <c r="AN20">
        <f>PnL(($D$7*(1+AN$2)),$E20,(RiskSlide!$A$7),($G20+AN$3),((RiskSlide!$A$10)/260),$C20,$B20,RiskSlide!$H49)</f>
        <v>93.330538667101237</v>
      </c>
      <c r="AO20">
        <f>PnL(($D$7*(1+AO$2)),$E20,(RiskSlide!$A$7),($G20+AO$3),((RiskSlide!$A$10)/260),$C20,$B20,RiskSlide!$H49)</f>
        <v>72.466240387078429</v>
      </c>
      <c r="AP20">
        <f>PnL(($D$7*(1+AP$2)),$E20,(RiskSlide!$A$7),($G20+AP$3),((RiskSlide!$A$10)/260),$C20,$B20,RiskSlide!$H49)</f>
        <v>53.082215243135877</v>
      </c>
      <c r="AQ20">
        <f>PnL(($D$7*(1+AQ$2)),$E20,(RiskSlide!$A$7),($G20+AQ$3),((RiskSlide!$A$10)/260),$C20,$B20,RiskSlide!$H49)</f>
        <v>35.155668002107987</v>
      </c>
      <c r="AR20">
        <f>PnL(($D$7*(1+AR$2)),$E20,(RiskSlide!$A$7),($G20+AR$3),((RiskSlide!$A$10)/260),$C20,$B20,RiskSlide!$H49)</f>
        <v>18.65909832393946</v>
      </c>
      <c r="AS20">
        <f>PnL(($D$7*(1+AS$2)),$E20,(RiskSlide!$A$7),($G20+AS$3),((RiskSlide!$A$10)/260),$C20,$B20,RiskSlide!$H49)</f>
        <v>-66.814639625933481</v>
      </c>
      <c r="AT20">
        <f>PnL(($D$7*(1+AT$2)),$E20,(RiskSlide!$A$7),($G20+AT$3),((RiskSlide!$A$10)/260),$C20,$B20,RiskSlide!$H49)</f>
        <v>-93.961525847859235</v>
      </c>
      <c r="AU20">
        <f>PnL(($D$7*(1+AU$2)),$E20,(RiskSlide!$A$7),($G20+AU$3),((RiskSlide!$A$10)/260),$C20,$B20,RiskSlide!$H49)</f>
        <v>538.88895783252724</v>
      </c>
      <c r="AV20">
        <f>PnL(($D$7*(1+AV$2)),$E20,(RiskSlide!$A$7),($G20+AV$3),((RiskSlide!$A$10)/260),$C20,$B20,RiskSlide!$H49)</f>
        <v>199.6828548689262</v>
      </c>
      <c r="AW20">
        <f>PnL(($D$7*(1+AW$2)),$E20,(RiskSlide!$A$7),($G20+AW$3),((RiskSlide!$A$10)/260),$C20,$B20,RiskSlide!$H49)</f>
        <v>29.237028815099464</v>
      </c>
      <c r="AX20">
        <f>PnL(($D$7*(1+AX$2)),$E20,(RiskSlide!$A$7),($G20+AX$3),((RiskSlide!$A$10)/260),$C20,$B20,RiskSlide!$H49)</f>
        <v>13.987221940555372</v>
      </c>
      <c r="AY20">
        <f>PnL(($D$7*(1+AY$2)),$E20,(RiskSlide!$A$7),($G20+AY$3),((RiskSlide!$A$10)/260),$C20,$B20,RiskSlide!$H49)</f>
        <v>0</v>
      </c>
      <c r="AZ20">
        <f>PnL(($D$7*(1+AZ$2)),$E20,(RiskSlide!$A$7),($G20+AZ$3),((RiskSlide!$A$10)/260),$C20,$B20,RiskSlide!$H49)</f>
        <v>-12.760413913876434</v>
      </c>
      <c r="BA20">
        <f>PnL(($D$7*(1+BA$2)),$E20,(RiskSlide!$A$7),($G20+BA$3),((RiskSlide!$A$10)/260),$C20,$B20,RiskSlide!$H49)</f>
        <v>-24.333968445114706</v>
      </c>
      <c r="BB20">
        <f>PnL(($D$7*(1+BB$2)),$E20,(RiskSlide!$A$7),($G20+BB$3),((RiskSlide!$A$10)/260),$C20,$B20,RiskSlide!$H49)</f>
        <v>-80.312061155729708</v>
      </c>
      <c r="BC20">
        <f>PnL(($D$7*(1+BC$2)),$E20,(RiskSlide!$A$7),($G20+BC$3),((RiskSlide!$A$10)/260),$C20,$B20,RiskSlide!$H49)</f>
        <v>-94.736974886101947</v>
      </c>
      <c r="BD20">
        <f>PnL(($D$7*(1+BD$2)),$E20,(RiskSlide!$A$7),($G20+BD$3),((RiskSlide!$A$10)/260),$C20,$B20,RiskSlide!$H49)</f>
        <v>389.50701613927771</v>
      </c>
      <c r="BE20">
        <f>PnL(($D$7*(1+BE$2)),$E20,(RiskSlide!$A$7),($G20+BE$3),((RiskSlide!$A$10)/260),$C20,$B20,RiskSlide!$H49)</f>
        <v>114.05618944230831</v>
      </c>
      <c r="BF20">
        <f>PnL(($D$7*(1+BF$2)),$E20,(RiskSlide!$A$7),($G20+BF$3),((RiskSlide!$A$10)/260),$C20,$B20,RiskSlide!$H49)</f>
        <v>-14.546105093763728</v>
      </c>
      <c r="BG20">
        <f>PnL(($D$7*(1+BG$2)),$E20,(RiskSlide!$A$7),($G20+BG$3),((RiskSlide!$A$10)/260),$C20,$B20,RiskSlide!$H49)</f>
        <v>-25.432043886509703</v>
      </c>
      <c r="BH20">
        <f>PnL(($D$7*(1+BH$2)),$E20,(RiskSlide!$A$7),($G20+BH$3),((RiskSlide!$A$10)/260),$C20,$B20,RiskSlide!$H49)</f>
        <v>-35.27995398572159</v>
      </c>
      <c r="BI20">
        <f>PnL(($D$7*(1+BI$2)),$E20,(RiskSlide!$A$7),($G20+BI$3),((RiskSlide!$A$10)/260),$C20,$B20,RiskSlide!$H49)</f>
        <v>-44.133481320329082</v>
      </c>
      <c r="BJ20">
        <f>PnL(($D$7*(1+BJ$2)),$E20,(RiskSlide!$A$7),($G20+BJ$3),((RiskSlide!$A$10)/260),$C20,$B20,RiskSlide!$H49)</f>
        <v>-52.039425559915031</v>
      </c>
      <c r="BK20">
        <f>PnL(($D$7*(1+BK$2)),$E20,(RiskSlide!$A$7),($G20+BK$3),((RiskSlide!$A$10)/260),$C20,$B20,RiskSlide!$H49)</f>
        <v>-87.629437407003678</v>
      </c>
      <c r="BL20">
        <f>PnL(($D$7*(1+BL$2)),$E20,(RiskSlide!$A$7),($G20+BL$3),((RiskSlide!$A$10)/260),$C20,$B20,RiskSlide!$H49)</f>
        <v>-95.007619448314287</v>
      </c>
      <c r="BM20">
        <f>PnL(($D$7*(1+BM$2)),$E20,(RiskSlide!$A$7),($G20+BM$3),((RiskSlide!$A$10)/260),$C20,$B20,RiskSlide!$H49)</f>
        <v>271.91390409418511</v>
      </c>
      <c r="BN20">
        <f>PnL(($D$7*(1+BN$2)),$E20,(RiskSlide!$A$7),($G20+BN$3),((RiskSlide!$A$10)/260),$C20,$B20,RiskSlide!$H49)</f>
        <v>51.356333023239031</v>
      </c>
      <c r="BO20">
        <f>PnL(($D$7*(1+BO$2)),$E20,(RiskSlide!$A$7),($G20+BO$3),((RiskSlide!$A$10)/260),$C20,$B20,RiskSlide!$H49)</f>
        <v>-43.861532126913971</v>
      </c>
      <c r="BP20">
        <f>PnL(($D$7*(1+BP$2)),$E20,(RiskSlide!$A$7),($G20+BP$3),((RiskSlide!$A$10)/260),$C20,$B20,RiskSlide!$H49)</f>
        <v>-51.453700309514794</v>
      </c>
      <c r="BQ20">
        <f>PnL(($D$7*(1+BQ$2)),$E20,(RiskSlide!$A$7),($G20+BQ$3),((RiskSlide!$A$10)/260),$C20,$B20,RiskSlide!$H49)</f>
        <v>-58.221472032811228</v>
      </c>
      <c r="BR20">
        <f>PnL(($D$7*(1+BR$2)),$E20,(RiskSlide!$A$7),($G20+BR$3),((RiskSlide!$A$10)/260),$C20,$B20,RiskSlide!$H49)</f>
        <v>-64.211408212908339</v>
      </c>
      <c r="BS20">
        <f>PnL(($D$7*(1+BS$2)),$E20,(RiskSlide!$A$7),($G20+BS$3),((RiskSlide!$A$10)/260),$C20,$B20,RiskSlide!$H49)</f>
        <v>-69.471978347640118</v>
      </c>
      <c r="BT20">
        <f>PnL(($D$7*(1+BT$2)),$E20,(RiskSlide!$A$7),($G20+BT$3),((RiskSlide!$A$10)/260),$C20,$B20,RiskSlide!$H49)</f>
        <v>-91.457967311058155</v>
      </c>
      <c r="BU20">
        <f>PnL(($D$7*(1+BU$2)),$E20,(RiskSlide!$A$7),($G20+BU$3),((RiskSlide!$A$10)/260),$C20,$B20,RiskSlide!$H49)</f>
        <v>-95.096039560301364</v>
      </c>
      <c r="BV20">
        <f>PnL(($D$7*(1+BV$2)),$E20,(RiskSlide!$A$7),($G20+BV$3),((RiskSlide!$A$10)/260),$C20,$B20,RiskSlide!$H49)</f>
        <v>-66.574197026598725</v>
      </c>
      <c r="BW20">
        <f>PnL(($D$7*(1+BW$2)),$E20,(RiskSlide!$A$7),($G20+BW$3),((RiskSlide!$A$10)/260),$C20,$B20,RiskSlide!$H49)</f>
        <v>-89.839174129085507</v>
      </c>
      <c r="BX20">
        <f>PnL(($D$7*(1+BX$2)),$E20,(RiskSlide!$A$7),($G20+BX$3),((RiskSlide!$A$10)/260),$C20,$B20,RiskSlide!$H49)</f>
        <v>-94.415357114746087</v>
      </c>
      <c r="BY20">
        <f>PnL(($D$7*(1+BY$2)),$E20,(RiskSlide!$A$7),($G20+BY$3),((RiskSlide!$A$10)/260),$C20,$B20,RiskSlide!$H49)</f>
        <v>-94.607093311682632</v>
      </c>
      <c r="BZ20">
        <f>PnL(($D$7*(1+BZ$2)),$E20,(RiskSlide!$A$7),($G20+BZ$3),((RiskSlide!$A$10)/260),$C20,$B20,RiskSlide!$H49)</f>
        <v>-94.754191122178085</v>
      </c>
      <c r="CA20">
        <f>PnL(($D$7*(1+CA$2)),$E20,(RiskSlide!$A$7),($G20+CA$3),((RiskSlide!$A$10)/260),$C20,$B20,RiskSlide!$H49)</f>
        <v>-94.865200805304696</v>
      </c>
      <c r="CB20">
        <f>PnL(($D$7*(1+CB$2)),$E20,(RiskSlide!$A$7),($G20+CB$3),((RiskSlide!$A$10)/260),$C20,$B20,RiskSlide!$H49)</f>
        <v>-94.947494150821612</v>
      </c>
      <c r="CC20">
        <f>PnL(($D$7*(1+CC$2)),$E20,(RiskSlide!$A$7),($G20+CC$3),((RiskSlide!$A$10)/260),$C20,$B20,RiskSlide!$H49)</f>
        <v>-95.12985483643854</v>
      </c>
      <c r="CD20">
        <f>PnL(($D$7*(1+CD$2)),$E20,(RiskSlide!$A$7),($G20+CD$3),((RiskSlide!$A$10)/260),$C20,$B20,RiskSlide!$H49)</f>
        <v>-95.133628904511014</v>
      </c>
      <c r="CE20">
        <f>PnL(($D$7*(1+CE$2)),$E20,(RiskSlide!$A$7),($G20+CE$3),((RiskSlide!$A$10)/260),$C20,$B20,RiskSlide!$H49)</f>
        <v>-94.604710804263377</v>
      </c>
      <c r="CF20">
        <f>PnL(($D$7*(1+CF$2)),$E20,(RiskSlide!$A$7),($G20+CF$3),((RiskSlide!$A$10)/260),$C20,$B20,RiskSlide!$H49)</f>
        <v>-95.106668447861239</v>
      </c>
      <c r="CG20">
        <f>PnL(($D$7*(1+CG$2)),$E20,(RiskSlide!$A$7),($G20+CG$3),((RiskSlide!$A$10)/260),$C20,$B20,RiskSlide!$H49)</f>
        <v>-95.132898598957354</v>
      </c>
      <c r="CH20">
        <f>PnL(($D$7*(1+CH$2)),$E20,(RiskSlide!$A$7),($G20+CH$3),((RiskSlide!$A$10)/260),$C20,$B20,RiskSlide!$H49)</f>
        <v>-95.133214758413274</v>
      </c>
      <c r="CI20">
        <f>PnL(($D$7*(1+CI$2)),$E20,(RiskSlide!$A$7),($G20+CI$3),((RiskSlide!$A$10)/260),$C20,$B20,RiskSlide!$H49)</f>
        <v>-95.133401664873816</v>
      </c>
      <c r="CJ20">
        <f>PnL(($D$7*(1+CJ$2)),$E20,(RiskSlide!$A$7),($G20+CJ$3),((RiskSlide!$A$10)/260),$C20,$B20,RiskSlide!$H49)</f>
        <v>-95.133508617748959</v>
      </c>
      <c r="CK20">
        <f>PnL(($D$7*(1+CK$2)),$E20,(RiskSlide!$A$7),($G20+CK$3),((RiskSlide!$A$10)/260),$C20,$B20,RiskSlide!$H49)</f>
        <v>-95.133567694975369</v>
      </c>
      <c r="CL20">
        <f>PnL(($D$7*(1+CL$2)),$E20,(RiskSlide!$A$7),($G20+CL$3),((RiskSlide!$A$10)/260),$C20,$B20,RiskSlide!$H49)</f>
        <v>-95.133629119988356</v>
      </c>
      <c r="CM20">
        <f>PnL(($D$7*(1+CM$2)),$E20,(RiskSlide!$A$7),($G20+CM$3),((RiskSlide!$A$10)/260),$C20,$B20,RiskSlide!$H49)</f>
        <v>-95.133629163331435</v>
      </c>
    </row>
    <row r="21" spans="1:91" x14ac:dyDescent="0.25">
      <c r="A21" t="s">
        <v>16</v>
      </c>
      <c r="B21">
        <v>-7</v>
      </c>
      <c r="C21">
        <v>0</v>
      </c>
      <c r="E21">
        <v>1680</v>
      </c>
      <c r="F21">
        <v>3.5000000000000001E-3</v>
      </c>
      <c r="G21">
        <v>0.232877</v>
      </c>
      <c r="K21">
        <f>PnL(($D$7*(1+K$2)),$E21,(RiskSlide!$A$7),($G21+K$3),((RiskSlide!$A$10)/260),$C21,$B21,RiskSlide!$H50)</f>
        <v>-28098.047628418688</v>
      </c>
      <c r="L21">
        <f>PnL(($D$7*(1+L$2)),$E21,(RiskSlide!$A$7),($G21+L$3),((RiskSlide!$A$10)/260),$C21,$B21,RiskSlide!$H50)</f>
        <v>-27421.401836182456</v>
      </c>
      <c r="M21">
        <f>PnL(($D$7*(1+M$2)),$E21,(RiskSlide!$A$7),($G21+M$3),((RiskSlide!$A$10)/260),$C21,$B21,RiskSlide!$H50)</f>
        <v>-27009.918631626242</v>
      </c>
      <c r="N21">
        <f>PnL(($D$7*(1+N$2)),$E21,(RiskSlide!$A$7),($G21+N$3),((RiskSlide!$A$10)/260),$C21,$B21,RiskSlide!$H50)</f>
        <v>-26967.676373820683</v>
      </c>
      <c r="O21">
        <f>PnL(($D$7*(1+O$2)),$E21,(RiskSlide!$A$7),($G21+O$3),((RiskSlide!$A$10)/260),$C21,$B21,RiskSlide!$H50)</f>
        <v>-26927.577906225742</v>
      </c>
      <c r="P21">
        <f>PnL(($D$7*(1+P$2)),$E21,(RiskSlide!$A$7),($G21+P$3),((RiskSlide!$A$10)/260),$C21,$B21,RiskSlide!$H50)</f>
        <v>-26889.644667483735</v>
      </c>
      <c r="Q21">
        <f>PnL(($D$7*(1+Q$2)),$E21,(RiskSlide!$A$7),($G21+Q$3),((RiskSlide!$A$10)/260),$C21,$B21,RiskSlide!$H50)</f>
        <v>-26853.893510818016</v>
      </c>
      <c r="R21">
        <f>PnL(($D$7*(1+R$2)),$E21,(RiskSlide!$A$7),($G21+R$3),((RiskSlide!$A$10)/260),$C21,$B21,RiskSlide!$H50)</f>
        <v>-26646.363270434158</v>
      </c>
      <c r="S21">
        <f>PnL(($D$7*(1+S$2)),$E21,(RiskSlide!$A$7),($G21+S$3),((RiskSlide!$A$10)/260),$C21,$B21,RiskSlide!$H50)</f>
        <v>-26555.81372607614</v>
      </c>
      <c r="T21">
        <f>PnL(($D$7*(1+T$2)),$E21,(RiskSlide!$A$7),($G21+T$3),((RiskSlide!$A$10)/260),$C21,$B21,RiskSlide!$H50)</f>
        <v>-7502.9747276927455</v>
      </c>
      <c r="U21">
        <f>PnL(($D$7*(1+U$2)),$E21,(RiskSlide!$A$7),($G21+U$3),((RiskSlide!$A$10)/260),$C21,$B21,RiskSlide!$H50)</f>
        <v>-6071.971804280307</v>
      </c>
      <c r="V21">
        <f>PnL(($D$7*(1+V$2)),$E21,(RiskSlide!$A$7),($G21+V$3),((RiskSlide!$A$10)/260),$C21,$B21,RiskSlide!$H50)</f>
        <v>-4935.5919440945545</v>
      </c>
      <c r="W21">
        <f>PnL(($D$7*(1+W$2)),$E21,(RiskSlide!$A$7),($G21+W$3),((RiskSlide!$A$10)/260),$C21,$B21,RiskSlide!$H50)</f>
        <v>-4794.2787850517425</v>
      </c>
      <c r="X21">
        <f>PnL(($D$7*(1+X$2)),$E21,(RiskSlide!$A$7),($G21+X$3),((RiskSlide!$A$10)/260),$C21,$B21,RiskSlide!$H50)</f>
        <v>-4653.1632781135195</v>
      </c>
      <c r="Y21">
        <f>PnL(($D$7*(1+Y$2)),$E21,(RiskSlide!$A$7),($G21+Y$3),((RiskSlide!$A$10)/260),$C21,$B21,RiskSlide!$H50)</f>
        <v>-4512.2581852283056</v>
      </c>
      <c r="Z21">
        <f>PnL(($D$7*(1+Z$2)),$E21,(RiskSlide!$A$7),($G21+Z$3),((RiskSlide!$A$10)/260),$C21,$B21,RiskSlide!$H50)</f>
        <v>-4371.5773772677639</v>
      </c>
      <c r="AA21">
        <f>PnL(($D$7*(1+AA$2)),$E21,(RiskSlide!$A$7),($G21+AA$3),((RiskSlide!$A$10)/260),$C21,$B21,RiskSlide!$H50)</f>
        <v>-3256.3500173949342</v>
      </c>
      <c r="AB21">
        <f>PnL(($D$7*(1+AB$2)),$E21,(RiskSlide!$A$7),($G21+AB$3),((RiskSlide!$A$10)/260),$C21,$B21,RiskSlide!$H50)</f>
        <v>-1905.2405345232305</v>
      </c>
      <c r="AC21">
        <f>PnL(($D$7*(1+AC$2)),$E21,(RiskSlide!$A$7),($G21+AC$3),((RiskSlide!$A$10)/260),$C21,$B21,RiskSlide!$H50)</f>
        <v>-1309.7232925527412</v>
      </c>
      <c r="AD21">
        <f>PnL(($D$7*(1+AD$2)),$E21,(RiskSlide!$A$7),($G21+AD$3),((RiskSlide!$A$10)/260),$C21,$B21,RiskSlide!$H50)</f>
        <v>-654.09936667508828</v>
      </c>
      <c r="AE21">
        <f>PnL(($D$7*(1+AE$2)),$E21,(RiskSlide!$A$7),($G21+AE$3),((RiskSlide!$A$10)/260),$C21,$B21,RiskSlide!$H50)</f>
        <v>-266.87502525539878</v>
      </c>
      <c r="AF21">
        <f>PnL(($D$7*(1+AF$2)),$E21,(RiskSlide!$A$7),($G21+AF$3),((RiskSlide!$A$10)/260),$C21,$B21,RiskSlide!$H50)</f>
        <v>-227.9710528893421</v>
      </c>
      <c r="AG21">
        <f>PnL(($D$7*(1+AG$2)),$E21,(RiskSlide!$A$7),($G21+AG$3),((RiskSlide!$A$10)/260),$C21,$B21,RiskSlide!$H50)</f>
        <v>-191.2469202254062</v>
      </c>
      <c r="AH21">
        <f>PnL(($D$7*(1+AH$2)),$E21,(RiskSlide!$A$7),($G21+AH$3),((RiskSlide!$A$10)/260),$C21,$B21,RiskSlide!$H50)</f>
        <v>-156.71177575248441</v>
      </c>
      <c r="AI21">
        <f>PnL(($D$7*(1+AI$2)),$E21,(RiskSlide!$A$7),($G21+AI$3),((RiskSlide!$A$10)/260),$C21,$B21,RiskSlide!$H50)</f>
        <v>-124.3691416852112</v>
      </c>
      <c r="AJ21">
        <f>PnL(($D$7*(1+AJ$2)),$E21,(RiskSlide!$A$7),($G21+AJ$3),((RiskSlide!$A$10)/260),$C21,$B21,RiskSlide!$H50)</f>
        <v>57.429073154668231</v>
      </c>
      <c r="AK21">
        <f>PnL(($D$7*(1+AK$2)),$E21,(RiskSlide!$A$7),($G21+AK$3),((RiskSlide!$A$10)/260),$C21,$B21,RiskSlide!$H50)</f>
        <v>129.11875788458048</v>
      </c>
      <c r="AL21">
        <f>PnL(($D$7*(1+AL$2)),$E21,(RiskSlide!$A$7),($G21+AL$3),((RiskSlide!$A$10)/260),$C21,$B21,RiskSlide!$H50)</f>
        <v>-988.45602319733143</v>
      </c>
      <c r="AM21">
        <f>PnL(($D$7*(1+AM$2)),$E21,(RiskSlide!$A$7),($G21+AM$3),((RiskSlide!$A$10)/260),$C21,$B21,RiskSlide!$H50)</f>
        <v>-437.94891919441704</v>
      </c>
      <c r="AN21">
        <f>PnL(($D$7*(1+AN$2)),$E21,(RiskSlide!$A$7),($G21+AN$3),((RiskSlide!$A$10)/260),$C21,$B21,RiskSlide!$H50)</f>
        <v>-133.36074901516284</v>
      </c>
      <c r="AO21">
        <f>PnL(($D$7*(1+AO$2)),$E21,(RiskSlide!$A$7),($G21+AO$3),((RiskSlide!$A$10)/260),$C21,$B21,RiskSlide!$H50)</f>
        <v>-104.2114806660063</v>
      </c>
      <c r="AP21">
        <f>PnL(($D$7*(1+AP$2)),$E21,(RiskSlide!$A$7),($G21+AP$3),((RiskSlide!$A$10)/260),$C21,$B21,RiskSlide!$H50)</f>
        <v>-77.037241249112043</v>
      </c>
      <c r="AQ21">
        <f>PnL(($D$7*(1+AQ$2)),$E21,(RiskSlide!$A$7),($G21+AQ$3),((RiskSlide!$A$10)/260),$C21,$B21,RiskSlide!$H50)</f>
        <v>-51.820885508291781</v>
      </c>
      <c r="AR21">
        <f>PnL(($D$7*(1+AR$2)),$E21,(RiskSlide!$A$7),($G21+AR$3),((RiskSlide!$A$10)/260),$C21,$B21,RiskSlide!$H50)</f>
        <v>-28.538755440716912</v>
      </c>
      <c r="AS21">
        <f>PnL(($D$7*(1+AS$2)),$E21,(RiskSlide!$A$7),($G21+AS$3),((RiskSlide!$A$10)/260),$C21,$B21,RiskSlide!$H50)</f>
        <v>93.407212148322216</v>
      </c>
      <c r="AT21">
        <f>PnL(($D$7*(1+AT$2)),$E21,(RiskSlide!$A$7),($G21+AT$3),((RiskSlide!$A$10)/260),$C21,$B21,RiskSlide!$H50)</f>
        <v>131.99470467701099</v>
      </c>
      <c r="AU21">
        <f>PnL(($D$7*(1+AU$2)),$E21,(RiskSlide!$A$7),($G21+AU$3),((RiskSlide!$A$10)/260),$C21,$B21,RiskSlide!$H50)</f>
        <v>-730.09613284154864</v>
      </c>
      <c r="AV21">
        <f>PnL(($D$7*(1+AV$2)),$E21,(RiskSlide!$A$7),($G21+AV$3),((RiskSlide!$A$10)/260),$C21,$B21,RiskSlide!$H50)</f>
        <v>-275.21502110221513</v>
      </c>
      <c r="AW21">
        <f>PnL(($D$7*(1+AW$2)),$E21,(RiskSlide!$A$7),($G21+AW$3),((RiskSlide!$A$10)/260),$C21,$B21,RiskSlide!$H50)</f>
        <v>-40.813433762323115</v>
      </c>
      <c r="AX21">
        <f>PnL(($D$7*(1+AX$2)),$E21,(RiskSlide!$A$7),($G21+AX$3),((RiskSlide!$A$10)/260),$C21,$B21,RiskSlide!$H50)</f>
        <v>-19.552073189006336</v>
      </c>
      <c r="AY21">
        <f>PnL(($D$7*(1+AY$2)),$E21,(RiskSlide!$A$7),($G21+AY$3),((RiskSlide!$A$10)/260),$C21,$B21,RiskSlide!$H50)</f>
        <v>0</v>
      </c>
      <c r="AZ21">
        <f>PnL(($D$7*(1+AZ$2)),$E21,(RiskSlide!$A$7),($G21+AZ$3),((RiskSlide!$A$10)/260),$C21,$B21,RiskSlide!$H50)</f>
        <v>17.881337765875926</v>
      </c>
      <c r="BA21">
        <f>PnL(($D$7*(1+BA$2)),$E21,(RiskSlide!$A$7),($G21+BA$3),((RiskSlide!$A$10)/260),$C21,$B21,RiskSlide!$H50)</f>
        <v>34.136750748428391</v>
      </c>
      <c r="BB21">
        <f>PnL(($D$7*(1+BB$2)),$E21,(RiskSlide!$A$7),($G21+BB$3),((RiskSlide!$A$10)/260),$C21,$B21,RiskSlide!$H50)</f>
        <v>113.13906140023953</v>
      </c>
      <c r="BC21">
        <f>PnL(($D$7*(1+BC$2)),$E21,(RiskSlide!$A$7),($G21+BC$3),((RiskSlide!$A$10)/260),$C21,$B21,RiskSlide!$H50)</f>
        <v>132.97806396410235</v>
      </c>
      <c r="BD21">
        <f>PnL(($D$7*(1+BD$2)),$E21,(RiskSlide!$A$7),($G21+BD$3),((RiskSlide!$A$10)/260),$C21,$B21,RiskSlide!$H50)</f>
        <v>-524.6514530218999</v>
      </c>
      <c r="BE21">
        <f>PnL(($D$7*(1+BE$2)),$E21,(RiskSlide!$A$7),($G21+BE$3),((RiskSlide!$A$10)/260),$C21,$B21,RiskSlide!$H50)</f>
        <v>-154.65043641737779</v>
      </c>
      <c r="BF21">
        <f>PnL(($D$7*(1+BF$2)),$E21,(RiskSlide!$A$7),($G21+BF$3),((RiskSlide!$A$10)/260),$C21,$B21,RiskSlide!$H50)</f>
        <v>21.916739163671473</v>
      </c>
      <c r="BG21">
        <f>PnL(($D$7*(1+BG$2)),$E21,(RiskSlide!$A$7),($G21+BG$3),((RiskSlide!$A$10)/260),$C21,$B21,RiskSlide!$H50)</f>
        <v>37.019745562580475</v>
      </c>
      <c r="BH21">
        <f>PnL(($D$7*(1+BH$2)),$E21,(RiskSlide!$A$7),($G21+BH$3),((RiskSlide!$A$10)/260),$C21,$B21,RiskSlide!$H50)</f>
        <v>50.704748982994197</v>
      </c>
      <c r="BI21">
        <f>PnL(($D$7*(1+BI$2)),$E21,(RiskSlide!$A$7),($G21+BI$3),((RiskSlide!$A$10)/260),$C21,$B21,RiskSlide!$H50)</f>
        <v>63.024723629460766</v>
      </c>
      <c r="BJ21">
        <f>PnL(($D$7*(1+BJ$2)),$E21,(RiskSlide!$A$7),($G21+BJ$3),((RiskSlide!$A$10)/260),$C21,$B21,RiskSlide!$H50)</f>
        <v>74.037725684949692</v>
      </c>
      <c r="BK21">
        <f>PnL(($D$7*(1+BK$2)),$E21,(RiskSlide!$A$7),($G21+BK$3),((RiskSlide!$A$10)/260),$C21,$B21,RiskSlide!$H50)</f>
        <v>123.52379026245148</v>
      </c>
      <c r="BL21">
        <f>PnL(($D$7*(1+BL$2)),$E21,(RiskSlide!$A$7),($G21+BL$3),((RiskSlide!$A$10)/260),$C21,$B21,RiskSlide!$H50)</f>
        <v>133.2881456318064</v>
      </c>
      <c r="BM21">
        <f>PnL(($D$7*(1+BM$2)),$E21,(RiskSlide!$A$7),($G21+BM$3),((RiskSlide!$A$10)/260),$C21,$B21,RiskSlide!$H50)</f>
        <v>-363.1096182576922</v>
      </c>
      <c r="BN21">
        <f>PnL(($D$7*(1+BN$2)),$E21,(RiskSlide!$A$7),($G21+BN$3),((RiskSlide!$A$10)/260),$C21,$B21,RiskSlide!$H50)</f>
        <v>-66.748718475663082</v>
      </c>
      <c r="BO21">
        <f>PnL(($D$7*(1+BO$2)),$E21,(RiskSlide!$A$7),($G21+BO$3),((RiskSlide!$A$10)/260),$C21,$B21,RiskSlide!$H50)</f>
        <v>63.49771386445191</v>
      </c>
      <c r="BP21">
        <f>PnL(($D$7*(1+BP$2)),$E21,(RiskSlide!$A$7),($G21+BP$3),((RiskSlide!$A$10)/260),$C21,$B21,RiskSlide!$H50)</f>
        <v>73.950229841551973</v>
      </c>
      <c r="BQ21">
        <f>PnL(($D$7*(1+BQ$2)),$E21,(RiskSlide!$A$7),($G21+BQ$3),((RiskSlide!$A$10)/260),$C21,$B21,RiskSlide!$H50)</f>
        <v>83.271981246492018</v>
      </c>
      <c r="BR21">
        <f>PnL(($D$7*(1+BR$2)),$E21,(RiskSlide!$A$7),($G21+BR$3),((RiskSlide!$A$10)/260),$C21,$B21,RiskSlide!$H50)</f>
        <v>91.522928575533939</v>
      </c>
      <c r="BS21">
        <f>PnL(($D$7*(1+BS$2)),$E21,(RiskSlide!$A$7),($G21+BS$3),((RiskSlide!$A$10)/260),$C21,$B21,RiskSlide!$H50)</f>
        <v>98.766399767953487</v>
      </c>
      <c r="BT21">
        <f>PnL(($D$7*(1+BT$2)),$E21,(RiskSlide!$A$7),($G21+BT$3),((RiskSlide!$A$10)/260),$C21,$B21,RiskSlide!$H50)</f>
        <v>128.76953370005106</v>
      </c>
      <c r="BU21">
        <f>PnL(($D$7*(1+BU$2)),$E21,(RiskSlide!$A$7),($G21+BU$3),((RiskSlide!$A$10)/260),$C21,$B21,RiskSlide!$H50)</f>
        <v>133.37837098313375</v>
      </c>
      <c r="BV21">
        <f>PnL(($D$7*(1+BV$2)),$E21,(RiskSlide!$A$7),($G21+BV$3),((RiskSlide!$A$10)/260),$C21,$B21,RiskSlide!$H50)</f>
        <v>96.936621737639413</v>
      </c>
      <c r="BW21">
        <f>PnL(($D$7*(1+BW$2)),$E21,(RiskSlide!$A$7),($G21+BW$3),((RiskSlide!$A$10)/260),$C21,$B21,RiskSlide!$H50)</f>
        <v>126.92271951781085</v>
      </c>
      <c r="BX21">
        <f>PnL(($D$7*(1+BX$2)),$E21,(RiskSlide!$A$7),($G21+BX$3),((RiskSlide!$A$10)/260),$C21,$B21,RiskSlide!$H50)</f>
        <v>132.60246550446982</v>
      </c>
      <c r="BY21">
        <f>PnL(($D$7*(1+BY$2)),$E21,(RiskSlide!$A$7),($G21+BY$3),((RiskSlide!$A$10)/260),$C21,$B21,RiskSlide!$H50)</f>
        <v>132.82803915444435</v>
      </c>
      <c r="BZ21">
        <f>PnL(($D$7*(1+BZ$2)),$E21,(RiskSlide!$A$7),($G21+BZ$3),((RiskSlide!$A$10)/260),$C21,$B21,RiskSlide!$H50)</f>
        <v>132.99855595802649</v>
      </c>
      <c r="CA21">
        <f>PnL(($D$7*(1+CA$2)),$E21,(RiskSlide!$A$7),($G21+CA$3),((RiskSlide!$A$10)/260),$C21,$B21,RiskSlide!$H50)</f>
        <v>133.12510636972047</v>
      </c>
      <c r="CB21">
        <f>PnL(($D$7*(1+CB$2)),$E21,(RiskSlide!$A$7),($G21+CB$3),((RiskSlide!$A$10)/260),$C21,$B21,RiskSlide!$H50)</f>
        <v>133.21716488903064</v>
      </c>
      <c r="CC21">
        <f>PnL(($D$7*(1+CC$2)),$E21,(RiskSlide!$A$7),($G21+CC$3),((RiskSlide!$A$10)/260),$C21,$B21,RiskSlide!$H50)</f>
        <v>133.40756286889052</v>
      </c>
      <c r="CD21">
        <f>PnL(($D$7*(1+CD$2)),$E21,(RiskSlide!$A$7),($G21+CD$3),((RiskSlide!$A$10)/260),$C21,$B21,RiskSlide!$H50)</f>
        <v>133.41037785712928</v>
      </c>
      <c r="CE21">
        <f>PnL(($D$7*(1+CE$2)),$E21,(RiskSlide!$A$7),($G21+CE$3),((RiskSlide!$A$10)/260),$C21,$B21,RiskSlide!$H50)</f>
        <v>132.82413700404342</v>
      </c>
      <c r="CF21">
        <f>PnL(($D$7*(1+CF$2)),$E21,(RiskSlide!$A$7),($G21+CF$3),((RiskSlide!$A$10)/260),$C21,$B21,RiskSlide!$H50)</f>
        <v>133.38473073554621</v>
      </c>
      <c r="CG21">
        <f>PnL(($D$7*(1+CG$2)),$E21,(RiskSlide!$A$7),($G21+CG$3),((RiskSlide!$A$10)/260),$C21,$B21,RiskSlide!$H50)</f>
        <v>133.40984282628037</v>
      </c>
      <c r="CH21">
        <f>PnL(($D$7*(1+CH$2)),$E21,(RiskSlide!$A$7),($G21+CH$3),((RiskSlide!$A$10)/260),$C21,$B21,RiskSlide!$H50)</f>
        <v>133.41008871991988</v>
      </c>
      <c r="CI21">
        <f>PnL(($D$7*(1+CI$2)),$E21,(RiskSlide!$A$7),($G21+CI$3),((RiskSlide!$A$10)/260),$C21,$B21,RiskSlide!$H50)</f>
        <v>133.41022738404786</v>
      </c>
      <c r="CJ21">
        <f>PnL(($D$7*(1+CJ$2)),$E21,(RiskSlide!$A$7),($G21+CJ$3),((RiskSlide!$A$10)/260),$C21,$B21,RiskSlide!$H50)</f>
        <v>133.41030269785534</v>
      </c>
      <c r="CK21">
        <f>PnL(($D$7*(1+CK$2)),$E21,(RiskSlide!$A$7),($G21+CK$3),((RiskSlide!$A$10)/260),$C21,$B21,RiskSlide!$H50)</f>
        <v>133.41034196478003</v>
      </c>
      <c r="CL21">
        <f>PnL(($D$7*(1+CL$2)),$E21,(RiskSlide!$A$7),($G21+CL$3),((RiskSlide!$A$10)/260),$C21,$B21,RiskSlide!$H50)</f>
        <v>133.41037789405388</v>
      </c>
      <c r="CM21">
        <f>PnL(($D$7*(1+CM$2)),$E21,(RiskSlide!$A$7),($G21+CM$3),((RiskSlide!$A$10)/260),$C21,$B21,RiskSlide!$H50)</f>
        <v>133.41037790475775</v>
      </c>
    </row>
    <row r="22" spans="1:91" x14ac:dyDescent="0.25">
      <c r="A22" t="s">
        <v>17</v>
      </c>
      <c r="B22">
        <v>6</v>
      </c>
      <c r="C22">
        <v>0</v>
      </c>
      <c r="E22">
        <v>1685</v>
      </c>
      <c r="F22">
        <v>3.5000000000000001E-3</v>
      </c>
      <c r="G22">
        <v>0.226297</v>
      </c>
      <c r="K22">
        <f>PnL(($D$7*(1+K$2)),$E22,(RiskSlide!$A$7),($G22+K$3),((RiskSlide!$A$10)/260),$C22,$B22,RiskSlide!$H51)</f>
        <v>25316.719496339581</v>
      </c>
      <c r="L22">
        <f>PnL(($D$7*(1+L$2)),$E22,(RiskSlide!$A$7),($G22+L$3),((RiskSlide!$A$10)/260),$C22,$B22,RiskSlide!$H51)</f>
        <v>24809.055485638011</v>
      </c>
      <c r="M22">
        <f>PnL(($D$7*(1+M$2)),$E22,(RiskSlide!$A$7),($G22+M$3),((RiskSlide!$A$10)/260),$C22,$B22,RiskSlide!$H51)</f>
        <v>24517.890041956482</v>
      </c>
      <c r="N22">
        <f>PnL(($D$7*(1+N$2)),$E22,(RiskSlide!$A$7),($G22+N$3),((RiskSlide!$A$10)/260),$C22,$B22,RiskSlide!$H51)</f>
        <v>24489.325708908862</v>
      </c>
      <c r="O22">
        <f>PnL(($D$7*(1+O$2)),$E22,(RiskSlide!$A$7),($G22+O$3),((RiskSlide!$A$10)/260),$C22,$B22,RiskSlide!$H51)</f>
        <v>24462.535873288678</v>
      </c>
      <c r="P22">
        <f>PnL(($D$7*(1+P$2)),$E22,(RiskSlide!$A$7),($G22+P$3),((RiskSlide!$A$10)/260),$C22,$B22,RiskSlide!$H51)</f>
        <v>24437.519245236927</v>
      </c>
      <c r="Q22">
        <f>PnL(($D$7*(1+Q$2)),$E22,(RiskSlide!$A$7),($G22+Q$3),((RiskSlide!$A$10)/260),$C22,$B22,RiskSlide!$H51)</f>
        <v>24414.269086778953</v>
      </c>
      <c r="R22">
        <f>PnL(($D$7*(1+R$2)),$E22,(RiskSlide!$A$7),($G22+R$3),((RiskSlide!$A$10)/260),$C22,$B22,RiskSlide!$H51)</f>
        <v>24288.815452863313</v>
      </c>
      <c r="S22">
        <f>PnL(($D$7*(1+S$2)),$E22,(RiskSlide!$A$7),($G22+S$3),((RiskSlide!$A$10)/260),$C22,$B22,RiskSlide!$H51)</f>
        <v>24246.120253430992</v>
      </c>
      <c r="T22">
        <f>PnL(($D$7*(1+T$2)),$E22,(RiskSlide!$A$7),($G22+T$3),((RiskSlide!$A$10)/260),$C22,$B22,RiskSlide!$H51)</f>
        <v>6929.037332489841</v>
      </c>
      <c r="U22">
        <f>PnL(($D$7*(1+U$2)),$E22,(RiskSlide!$A$7),($G22+U$3),((RiskSlide!$A$10)/260),$C22,$B22,RiskSlide!$H51)</f>
        <v>5685.4782668603348</v>
      </c>
      <c r="V22">
        <f>PnL(($D$7*(1+V$2)),$E22,(RiskSlide!$A$7),($G22+V$3),((RiskSlide!$A$10)/260),$C22,$B22,RiskSlide!$H51)</f>
        <v>4693.5354455730849</v>
      </c>
      <c r="W22">
        <f>PnL(($D$7*(1+W$2)),$E22,(RiskSlide!$A$7),($G22+W$3),((RiskSlide!$A$10)/260),$C22,$B22,RiskSlide!$H51)</f>
        <v>4569.7996819247719</v>
      </c>
      <c r="X22">
        <f>PnL(($D$7*(1+X$2)),$E22,(RiskSlide!$A$7),($G22+X$3),((RiskSlide!$A$10)/260),$C22,$B22,RiskSlide!$H51)</f>
        <v>4446.1337347634217</v>
      </c>
      <c r="Y22">
        <f>PnL(($D$7*(1+Y$2)),$E22,(RiskSlide!$A$7),($G22+Y$3),((RiskSlide!$A$10)/260),$C22,$B22,RiskSlide!$H51)</f>
        <v>4322.5423420415527</v>
      </c>
      <c r="Z22">
        <f>PnL(($D$7*(1+Z$2)),$E22,(RiskSlide!$A$7),($G22+Z$3),((RiskSlide!$A$10)/260),$C22,$B22,RiskSlide!$H51)</f>
        <v>4199.0306734387023</v>
      </c>
      <c r="AA22">
        <f>PnL(($D$7*(1+AA$2)),$E22,(RiskSlide!$A$7),($G22+AA$3),((RiskSlide!$A$10)/260),$C22,$B22,RiskSlide!$H51)</f>
        <v>3214.6178099576132</v>
      </c>
      <c r="AB22">
        <f>PnL(($D$7*(1+AB$2)),$E22,(RiskSlide!$A$7),($G22+AB$3),((RiskSlide!$A$10)/260),$C22,$B22,RiskSlide!$H51)</f>
        <v>2000.1184572683455</v>
      </c>
      <c r="AC22">
        <f>PnL(($D$7*(1+AC$2)),$E22,(RiskSlide!$A$7),($G22+AC$3),((RiskSlide!$A$10)/260),$C22,$B22,RiskSlide!$H51)</f>
        <v>1216.0696038785716</v>
      </c>
      <c r="AD22">
        <f>PnL(($D$7*(1+AD$2)),$E22,(RiskSlide!$A$7),($G22+AD$3),((RiskSlide!$A$10)/260),$C22,$B22,RiskSlide!$H51)</f>
        <v>615.74801917095954</v>
      </c>
      <c r="AE22">
        <f>PnL(($D$7*(1+AE$2)),$E22,(RiskSlide!$A$7),($G22+AE$3),((RiskSlide!$A$10)/260),$C22,$B22,RiskSlide!$H51)</f>
        <v>255.43763535677328</v>
      </c>
      <c r="AF22">
        <f>PnL(($D$7*(1+AF$2)),$E22,(RiskSlide!$A$7),($G22+AF$3),((RiskSlide!$A$10)/260),$C22,$B22,RiskSlide!$H51)</f>
        <v>218.86866832845584</v>
      </c>
      <c r="AG22">
        <f>PnL(($D$7*(1+AG$2)),$E22,(RiskSlide!$A$7),($G22+AG$3),((RiskSlide!$A$10)/260),$C22,$B22,RiskSlide!$H51)</f>
        <v>184.26808205740741</v>
      </c>
      <c r="AH22">
        <f>PnL(($D$7*(1+AH$2)),$E22,(RiskSlide!$A$7),($G22+AH$3),((RiskSlide!$A$10)/260),$C22,$B22,RiskSlide!$H51)</f>
        <v>151.65243516915581</v>
      </c>
      <c r="AI22">
        <f>PnL(($D$7*(1+AI$2)),$E22,(RiskSlide!$A$7),($G22+AI$3),((RiskSlide!$A$10)/260),$C22,$B22,RiskSlide!$H51)</f>
        <v>121.0335143603757</v>
      </c>
      <c r="AJ22">
        <f>PnL(($D$7*(1+AJ$2)),$E22,(RiskSlide!$A$7),($G22+AJ$3),((RiskSlide!$A$10)/260),$C22,$B22,RiskSlide!$H51)</f>
        <v>-52.772719392947209</v>
      </c>
      <c r="AK22">
        <f>PnL(($D$7*(1+AK$2)),$E22,(RiskSlide!$A$7),($G22+AK$3),((RiskSlide!$A$10)/260),$C22,$B22,RiskSlide!$H51)</f>
        <v>-122.19522556055659</v>
      </c>
      <c r="AL22">
        <f>PnL(($D$7*(1+AL$2)),$E22,(RiskSlide!$A$7),($G22+AL$3),((RiskSlide!$A$10)/260),$C22,$B22,RiskSlide!$H51)</f>
        <v>916.60905857112311</v>
      </c>
      <c r="AM22">
        <f>PnL(($D$7*(1+AM$2)),$E22,(RiskSlide!$A$7),($G22+AM$3),((RiskSlide!$A$10)/260),$C22,$B22,RiskSlide!$H51)</f>
        <v>411.13315119944787</v>
      </c>
      <c r="AN22">
        <f>PnL(($D$7*(1+AN$2)),$E22,(RiskSlide!$A$7),($G22+AN$3),((RiskSlide!$A$10)/260),$C22,$B22,RiskSlide!$H51)</f>
        <v>127.13892070113957</v>
      </c>
      <c r="AO22">
        <f>PnL(($D$7*(1+AO$2)),$E22,(RiskSlide!$A$7),($G22+AO$3),((RiskSlide!$A$10)/260),$C22,$B22,RiskSlide!$H51)</f>
        <v>99.706892417351867</v>
      </c>
      <c r="AP22">
        <f>PnL(($D$7*(1+AP$2)),$E22,(RiskSlide!$A$7),($G22+AP$3),((RiskSlide!$A$10)/260),$C22,$B22,RiskSlide!$H51)</f>
        <v>74.081791920995954</v>
      </c>
      <c r="AQ22">
        <f>PnL(($D$7*(1+AQ$2)),$E22,(RiskSlide!$A$7),($G22+AQ$3),((RiskSlide!$A$10)/260),$C22,$B22,RiskSlide!$H51)</f>
        <v>50.254850782464899</v>
      </c>
      <c r="AR22">
        <f>PnL(($D$7*(1+AR$2)),$E22,(RiskSlide!$A$7),($G22+AR$3),((RiskSlide!$A$10)/260),$C22,$B22,RiskSlide!$H51)</f>
        <v>28.211335027037876</v>
      </c>
      <c r="AS22">
        <f>PnL(($D$7*(1+AS$2)),$E22,(RiskSlide!$A$7),($G22+AS$3),((RiskSlide!$A$10)/260),$C22,$B22,RiskSlide!$H51)</f>
        <v>-88.062012223367958</v>
      </c>
      <c r="AT22">
        <f>PnL(($D$7*(1+AT$2)),$E22,(RiskSlide!$A$7),($G22+AT$3),((RiskSlide!$A$10)/260),$C22,$B22,RiskSlide!$H51)</f>
        <v>-124.91226175430937</v>
      </c>
      <c r="AU22">
        <f>PnL(($D$7*(1+AU$2)),$E22,(RiskSlide!$A$7),($G22+AU$3),((RiskSlide!$A$10)/260),$C22,$B22,RiskSlide!$H51)</f>
        <v>675.66047147676329</v>
      </c>
      <c r="AV22">
        <f>PnL(($D$7*(1+AV$2)),$E22,(RiskSlide!$A$7),($G22+AV$3),((RiskSlide!$A$10)/260),$C22,$B22,RiskSlide!$H51)</f>
        <v>257.15071152180826</v>
      </c>
      <c r="AW22">
        <f>PnL(($D$7*(1+AW$2)),$E22,(RiskSlide!$A$7),($G22+AW$3),((RiskSlide!$A$10)/260),$C22,$B22,RiskSlide!$H51)</f>
        <v>38.421498266124132</v>
      </c>
      <c r="AX22">
        <f>PnL(($D$7*(1+AX$2)),$E22,(RiskSlide!$A$7),($G22+AX$3),((RiskSlide!$A$10)/260),$C22,$B22,RiskSlide!$H51)</f>
        <v>18.421583150269782</v>
      </c>
      <c r="AY22">
        <f>PnL(($D$7*(1+AY$2)),$E22,(RiskSlide!$A$7),($G22+AY$3),((RiskSlide!$A$10)/260),$C22,$B22,RiskSlide!$H51)</f>
        <v>0</v>
      </c>
      <c r="AZ22">
        <f>PnL(($D$7*(1+AZ$2)),$E22,(RiskSlide!$A$7),($G22+AZ$3),((RiskSlide!$A$10)/260),$C22,$B22,RiskSlide!$H51)</f>
        <v>-16.873579383195647</v>
      </c>
      <c r="BA22">
        <f>PnL(($D$7*(1+BA$2)),$E22,(RiskSlide!$A$7),($G22+BA$3),((RiskSlide!$A$10)/260),$C22,$B22,RiskSlide!$H51)</f>
        <v>-32.235502804124749</v>
      </c>
      <c r="BB22">
        <f>PnL(($D$7*(1+BB$2)),$E22,(RiskSlide!$A$7),($G22+BB$3),((RiskSlide!$A$10)/260),$C22,$B22,RiskSlide!$H51)</f>
        <v>-107.17770766236913</v>
      </c>
      <c r="BC22">
        <f>PnL(($D$7*(1+BC$2)),$E22,(RiskSlide!$A$7),($G22+BC$3),((RiskSlide!$A$10)/260),$C22,$B22,RiskSlide!$H51)</f>
        <v>-125.79667251517004</v>
      </c>
      <c r="BD22">
        <f>PnL(($D$7*(1+BD$2)),$E22,(RiskSlide!$A$7),($G22+BD$3),((RiskSlide!$A$10)/260),$C22,$B22,RiskSlide!$H51)</f>
        <v>484.04561823180217</v>
      </c>
      <c r="BE22">
        <f>PnL(($D$7*(1+BE$2)),$E22,(RiskSlide!$A$7),($G22+BE$3),((RiskSlide!$A$10)/260),$C22,$B22,RiskSlide!$H51)</f>
        <v>143.20559747584412</v>
      </c>
      <c r="BF22">
        <f>PnL(($D$7*(1+BF$2)),$E22,(RiskSlide!$A$7),($G22+BF$3),((RiskSlide!$A$10)/260),$C22,$B22,RiskSlide!$H51)</f>
        <v>-21.492153109736734</v>
      </c>
      <c r="BG22">
        <f>PnL(($D$7*(1+BG$2)),$E22,(RiskSlide!$A$7),($G22+BG$3),((RiskSlide!$A$10)/260),$C22,$B22,RiskSlide!$H51)</f>
        <v>-35.670101374525842</v>
      </c>
      <c r="BH22">
        <f>PnL(($D$7*(1+BH$2)),$E22,(RiskSlide!$A$7),($G22+BH$3),((RiskSlide!$A$10)/260),$C22,$B22,RiskSlide!$H51)</f>
        <v>-48.53084650685453</v>
      </c>
      <c r="BI22">
        <f>PnL(($D$7*(1+BI$2)),$E22,(RiskSlide!$A$7),($G22+BI$3),((RiskSlide!$A$10)/260),$C22,$B22,RiskSlide!$H51)</f>
        <v>-60.119967368828142</v>
      </c>
      <c r="BJ22">
        <f>PnL(($D$7*(1+BJ$2)),$E22,(RiskSlide!$A$7),($G22+BJ$3),((RiskSlide!$A$10)/260),$C22,$B22,RiskSlide!$H51)</f>
        <v>-70.48812565815723</v>
      </c>
      <c r="BK22">
        <f>PnL(($D$7*(1+BK$2)),$E22,(RiskSlide!$A$7),($G22+BK$3),((RiskSlide!$A$10)/260),$C22,$B22,RiskSlide!$H51)</f>
        <v>-117.08263789297195</v>
      </c>
      <c r="BL22">
        <f>PnL(($D$7*(1+BL$2)),$E22,(RiskSlide!$A$7),($G22+BL$3),((RiskSlide!$A$10)/260),$C22,$B22,RiskSlide!$H51)</f>
        <v>-126.05981127810543</v>
      </c>
      <c r="BM22">
        <f>PnL(($D$7*(1+BM$2)),$E22,(RiskSlide!$A$7),($G22+BM$3),((RiskSlide!$A$10)/260),$C22,$B22,RiskSlide!$H51)</f>
        <v>333.43359231591592</v>
      </c>
      <c r="BN22">
        <f>PnL(($D$7*(1+BN$2)),$E22,(RiskSlide!$A$7),($G22+BN$3),((RiskSlide!$A$10)/260),$C22,$B22,RiskSlide!$H51)</f>
        <v>60.292746612379489</v>
      </c>
      <c r="BO22">
        <f>PnL(($D$7*(1+BO$2)),$E22,(RiskSlide!$A$7),($G22+BO$3),((RiskSlide!$A$10)/260),$C22,$B22,RiskSlide!$H51)</f>
        <v>-61.010211304914108</v>
      </c>
      <c r="BP22">
        <f>PnL(($D$7*(1+BP$2)),$E22,(RiskSlide!$A$7),($G22+BP$3),((RiskSlide!$A$10)/260),$C22,$B22,RiskSlide!$H51)</f>
        <v>-70.787091562192472</v>
      </c>
      <c r="BQ22">
        <f>PnL(($D$7*(1+BQ$2)),$E22,(RiskSlide!$A$7),($G22+BQ$3),((RiskSlide!$A$10)/260),$C22,$B22,RiskSlide!$H51)</f>
        <v>-79.51033943382555</v>
      </c>
      <c r="BR22">
        <f>PnL(($D$7*(1+BR$2)),$E22,(RiskSlide!$A$7),($G22+BR$3),((RiskSlide!$A$10)/260),$C22,$B22,RiskSlide!$H51)</f>
        <v>-87.233627278597396</v>
      </c>
      <c r="BS22">
        <f>PnL(($D$7*(1+BS$2)),$E22,(RiskSlide!$A$7),($G22+BS$3),((RiskSlide!$A$10)/260),$C22,$B22,RiskSlide!$H51)</f>
        <v>-94.014142780286932</v>
      </c>
      <c r="BT22">
        <f>PnL(($D$7*(1+BT$2)),$E22,(RiskSlide!$A$7),($G22+BT$3),((RiskSlide!$A$10)/260),$C22,$B22,RiskSlide!$H51)</f>
        <v>-121.99292464073687</v>
      </c>
      <c r="BU22">
        <f>PnL(($D$7*(1+BU$2)),$E22,(RiskSlide!$A$7),($G22+BU$3),((RiskSlide!$A$10)/260),$C22,$B22,RiskSlide!$H51)</f>
        <v>-126.13141808058656</v>
      </c>
      <c r="BV22">
        <f>PnL(($D$7*(1+BV$2)),$E22,(RiskSlide!$A$7),($G22+BV$3),((RiskSlide!$A$10)/260),$C22,$B22,RiskSlide!$H51)</f>
        <v>-93.36059943354104</v>
      </c>
      <c r="BW22">
        <f>PnL(($D$7*(1+BW$2)),$E22,(RiskSlide!$A$7),($G22+BW$3),((RiskSlide!$A$10)/260),$C22,$B22,RiskSlide!$H51)</f>
        <v>-120.44257501446832</v>
      </c>
      <c r="BX22">
        <f>PnL(($D$7*(1+BX$2)),$E22,(RiskSlide!$A$7),($G22+BX$3),((RiskSlide!$A$10)/260),$C22,$B22,RiskSlide!$H51)</f>
        <v>-125.47460597386275</v>
      </c>
      <c r="BY22">
        <f>PnL(($D$7*(1+BY$2)),$E22,(RiskSlide!$A$7),($G22+BY$3),((RiskSlide!$A$10)/260),$C22,$B22,RiskSlide!$H51)</f>
        <v>-125.66883455656583</v>
      </c>
      <c r="BZ22">
        <f>PnL(($D$7*(1+BZ$2)),$E22,(RiskSlide!$A$7),($G22+BZ$3),((RiskSlide!$A$10)/260),$C22,$B22,RiskSlide!$H51)</f>
        <v>-125.81448913323241</v>
      </c>
      <c r="CA22">
        <f>PnL(($D$7*(1+CA$2)),$E22,(RiskSlide!$A$7),($G22+CA$3),((RiskSlide!$A$10)/260),$C22,$B22,RiskSlide!$H51)</f>
        <v>-125.9216119193038</v>
      </c>
      <c r="CB22">
        <f>PnL(($D$7*(1+CB$2)),$E22,(RiskSlide!$A$7),($G22+CB$3),((RiskSlide!$A$10)/260),$C22,$B22,RiskSlide!$H51)</f>
        <v>-125.9987391802013</v>
      </c>
      <c r="CC22">
        <f>PnL(($D$7*(1+CC$2)),$E22,(RiskSlide!$A$7),($G22+CC$3),((RiskSlide!$A$10)/260),$C22,$B22,RiskSlide!$H51)</f>
        <v>-126.15248796924566</v>
      </c>
      <c r="CD22">
        <f>PnL(($D$7*(1+CD$2)),$E22,(RiskSlide!$A$7),($G22+CD$3),((RiskSlide!$A$10)/260),$C22,$B22,RiskSlide!$H51)</f>
        <v>-126.15437130786013</v>
      </c>
      <c r="CE22">
        <f>PnL(($D$7*(1+CE$2)),$E22,(RiskSlide!$A$7),($G22+CE$3),((RiskSlide!$A$10)/260),$C22,$B22,RiskSlide!$H51)</f>
        <v>-125.66498726109958</v>
      </c>
      <c r="CF22">
        <f>PnL(($D$7*(1+CF$2)),$E22,(RiskSlide!$A$7),($G22+CF$3),((RiskSlide!$A$10)/260),$C22,$B22,RiskSlide!$H51)</f>
        <v>-126.13464613650122</v>
      </c>
      <c r="CG22">
        <f>PnL(($D$7*(1+CG$2)),$E22,(RiskSlide!$A$7),($G22+CG$3),((RiskSlide!$A$10)/260),$C22,$B22,RiskSlide!$H51)</f>
        <v>-126.15401489477995</v>
      </c>
      <c r="CH22">
        <f>PnL(($D$7*(1+CH$2)),$E22,(RiskSlide!$A$7),($G22+CH$3),((RiskSlide!$A$10)/260),$C22,$B22,RiskSlide!$H51)</f>
        <v>-126.15418381304339</v>
      </c>
      <c r="CI22">
        <f>PnL(($D$7*(1+CI$2)),$E22,(RiskSlide!$A$7),($G22+CI$3),((RiskSlide!$A$10)/260),$C22,$B22,RiskSlide!$H51)</f>
        <v>-126.15427658832333</v>
      </c>
      <c r="CJ22">
        <f>PnL(($D$7*(1+CJ$2)),$E22,(RiskSlide!$A$7),($G22+CJ$3),((RiskSlide!$A$10)/260),$C22,$B22,RiskSlide!$H51)</f>
        <v>-126.15432552438216</v>
      </c>
      <c r="CK22">
        <f>PnL(($D$7*(1+CK$2)),$E22,(RiskSlide!$A$7),($G22+CK$3),((RiskSlide!$A$10)/260),$C22,$B22,RiskSlide!$H51)</f>
        <v>-126.1543502220989</v>
      </c>
      <c r="CL22">
        <f>PnL(($D$7*(1+CL$2)),$E22,(RiskSlide!$A$7),($G22+CL$3),((RiskSlide!$A$10)/260),$C22,$B22,RiskSlide!$H51)</f>
        <v>-126.1543713177805</v>
      </c>
      <c r="CM22">
        <f>PnL(($D$7*(1+CM$2)),$E22,(RiskSlide!$A$7),($G22+CM$3),((RiskSlide!$A$10)/260),$C22,$B22,RiskSlide!$H51)</f>
        <v>-126.15437132160139</v>
      </c>
    </row>
    <row r="23" spans="1:91" x14ac:dyDescent="0.25">
      <c r="A23" t="s">
        <v>18</v>
      </c>
      <c r="B23">
        <v>11</v>
      </c>
      <c r="C23">
        <v>0</v>
      </c>
      <c r="E23">
        <v>1690</v>
      </c>
      <c r="F23">
        <v>3.5000000000000001E-3</v>
      </c>
      <c r="G23">
        <v>0.21973899999999999</v>
      </c>
      <c r="K23">
        <f>PnL(($D$7*(1+K$2)),$E23,(RiskSlide!$A$7),($G23+K$3),((RiskSlide!$A$10)/260),$C23,$B23,RiskSlide!$H52)</f>
        <v>48736.899347393111</v>
      </c>
      <c r="L23">
        <f>PnL(($D$7*(1+L$2)),$E23,(RiskSlide!$A$7),($G23+L$3),((RiskSlide!$A$10)/260),$C23,$B23,RiskSlide!$H52)</f>
        <v>47936.218230823033</v>
      </c>
      <c r="M23">
        <f>PnL(($D$7*(1+M$2)),$E23,(RiskSlide!$A$7),($G23+M$3),((RiskSlide!$A$10)/260),$C23,$B23,RiskSlide!$H52)</f>
        <v>47507.379901290151</v>
      </c>
      <c r="N23">
        <f>PnL(($D$7*(1+N$2)),$E23,(RiskSlide!$A$7),($G23+N$3),((RiskSlide!$A$10)/260),$C23,$B23,RiskSlide!$H52)</f>
        <v>47467.535369463876</v>
      </c>
      <c r="O23">
        <f>PnL(($D$7*(1+O$2)),$E23,(RiskSlide!$A$7),($G23+O$3),((RiskSlide!$A$10)/260),$C23,$B23,RiskSlide!$H52)</f>
        <v>47430.700802950829</v>
      </c>
      <c r="P23">
        <f>PnL(($D$7*(1+P$2)),$E23,(RiskSlide!$A$7),($G23+P$3),((RiskSlide!$A$10)/260),$C23,$B23,RiskSlide!$H52)</f>
        <v>47396.835041257902</v>
      </c>
      <c r="Q23">
        <f>PnL(($D$7*(1+Q$2)),$E23,(RiskSlide!$A$7),($G23+Q$3),((RiskSlide!$A$10)/260),$C23,$B23,RiskSlide!$H52)</f>
        <v>47365.885247750972</v>
      </c>
      <c r="R23">
        <f>PnL(($D$7*(1+R$2)),$E23,(RiskSlide!$A$7),($G23+R$3),((RiskSlide!$A$10)/260),$C23,$B23,RiskSlide!$H52)</f>
        <v>47212.619177892309</v>
      </c>
      <c r="S23">
        <f>PnL(($D$7*(1+S$2)),$E23,(RiskSlide!$A$7),($G23+S$3),((RiskSlide!$A$10)/260),$C23,$B23,RiskSlide!$H52)</f>
        <v>47173.657778435765</v>
      </c>
      <c r="T23">
        <f>PnL(($D$7*(1+T$2)),$E23,(RiskSlide!$A$7),($G23+T$3),((RiskSlide!$A$10)/260),$C23,$B23,RiskSlide!$H52)</f>
        <v>13687.913581331983</v>
      </c>
      <c r="U23">
        <f>PnL(($D$7*(1+U$2)),$E23,(RiskSlide!$A$7),($G23+U$3),((RiskSlide!$A$10)/260),$C23,$B23,RiskSlide!$H52)</f>
        <v>11389.245251119959</v>
      </c>
      <c r="V23">
        <f>PnL(($D$7*(1+V$2)),$E23,(RiskSlide!$A$7),($G23+V$3),((RiskSlide!$A$10)/260),$C23,$B23,RiskSlide!$H52)</f>
        <v>9550.9986796752601</v>
      </c>
      <c r="W23">
        <f>PnL(($D$7*(1+W$2)),$E23,(RiskSlide!$A$7),($G23+W$3),((RiskSlide!$A$10)/260),$C23,$B23,RiskSlide!$H52)</f>
        <v>9321.2819502700841</v>
      </c>
      <c r="X23">
        <f>PnL(($D$7*(1+X$2)),$E23,(RiskSlide!$A$7),($G23+X$3),((RiskSlide!$A$10)/260),$C23,$B23,RiskSlide!$H52)</f>
        <v>9091.5830170070731</v>
      </c>
      <c r="Y23">
        <f>PnL(($D$7*(1+Y$2)),$E23,(RiskSlide!$A$7),($G23+Y$3),((RiskSlide!$A$10)/260),$C23,$B23,RiskSlide!$H52)</f>
        <v>8861.903212882853</v>
      </c>
      <c r="Z23">
        <f>PnL(($D$7*(1+Z$2)),$E23,(RiskSlide!$A$7),($G23+Z$3),((RiskSlide!$A$10)/260),$C23,$B23,RiskSlide!$H52)</f>
        <v>8632.2439956851467</v>
      </c>
      <c r="AA23">
        <f>PnL(($D$7*(1+AA$2)),$E23,(RiskSlide!$A$7),($G23+AA$3),((RiskSlide!$A$10)/260),$C23,$B23,RiskSlide!$H52)</f>
        <v>6795.9420215332921</v>
      </c>
      <c r="AB23">
        <f>PnL(($D$7*(1+AB$2)),$E23,(RiskSlide!$A$7),($G23+AB$3),((RiskSlide!$A$10)/260),$C23,$B23,RiskSlide!$H52)</f>
        <v>4504.9905643922411</v>
      </c>
      <c r="AC23">
        <f>PnL(($D$7*(1+AC$2)),$E23,(RiskSlide!$A$7),($G23+AC$3),((RiskSlide!$A$10)/260),$C23,$B23,RiskSlide!$H52)</f>
        <v>2418.0023984841446</v>
      </c>
      <c r="AD23">
        <f>PnL(($D$7*(1+AD$2)),$E23,(RiskSlide!$A$7),($G23+AD$3),((RiskSlide!$A$10)/260),$C23,$B23,RiskSlide!$H52)</f>
        <v>1242.4147019958277</v>
      </c>
      <c r="AE23">
        <f>PnL(($D$7*(1+AE$2)),$E23,(RiskSlide!$A$7),($G23+AE$3),((RiskSlide!$A$10)/260),$C23,$B23,RiskSlide!$H52)</f>
        <v>524.74841288316441</v>
      </c>
      <c r="AF23">
        <f>PnL(($D$7*(1+AF$2)),$E23,(RiskSlide!$A$7),($G23+AF$3),((RiskSlide!$A$10)/260),$C23,$B23,RiskSlide!$H52)</f>
        <v>451.11231902115708</v>
      </c>
      <c r="AG23">
        <f>PnL(($D$7*(1+AG$2)),$E23,(RiskSlide!$A$7),($G23+AG$3),((RiskSlide!$A$10)/260),$C23,$B23,RiskSlide!$H52)</f>
        <v>381.26202009934434</v>
      </c>
      <c r="AH23">
        <f>PnL(($D$7*(1+AH$2)),$E23,(RiskSlide!$A$7),($G23+AH$3),((RiskSlide!$A$10)/260),$C23,$B23,RiskSlide!$H52)</f>
        <v>315.24664194726813</v>
      </c>
      <c r="AI23">
        <f>PnL(($D$7*(1+AI$2)),$E23,(RiskSlide!$A$7),($G23+AI$3),((RiskSlide!$A$10)/260),$C23,$B23,RiskSlide!$H52)</f>
        <v>253.10699658045621</v>
      </c>
      <c r="AJ23">
        <f>PnL(($D$7*(1+AJ$2)),$E23,(RiskSlide!$A$7),($G23+AJ$3),((RiskSlide!$A$10)/260),$C23,$B23,RiskSlide!$H52)</f>
        <v>-103.58350650717085</v>
      </c>
      <c r="AK23">
        <f>PnL(($D$7*(1+AK$2)),$E23,(RiskSlide!$A$7),($G23+AK$3),((RiskSlide!$A$10)/260),$C23,$B23,RiskSlide!$H52)</f>
        <v>-248.41405343898202</v>
      </c>
      <c r="AL23">
        <f>PnL(($D$7*(1+AL$2)),$E23,(RiskSlide!$A$7),($G23+AL$3),((RiskSlide!$A$10)/260),$C23,$B23,RiskSlide!$H52)</f>
        <v>1820.3084733607986</v>
      </c>
      <c r="AM23">
        <f>PnL(($D$7*(1+AM$2)),$E23,(RiskSlide!$A$7),($G23+AM$3),((RiskSlide!$A$10)/260),$C23,$B23,RiskSlide!$H52)</f>
        <v>827.27508645591502</v>
      </c>
      <c r="AN23">
        <f>PnL(($D$7*(1+AN$2)),$E23,(RiskSlide!$A$7),($G23+AN$3),((RiskSlide!$A$10)/260),$C23,$B23,RiskSlide!$H52)</f>
        <v>260.15393369773534</v>
      </c>
      <c r="AO23">
        <f>PnL(($D$7*(1+AO$2)),$E23,(RiskSlide!$A$7),($G23+AO$3),((RiskSlide!$A$10)/260),$C23,$B23,RiskSlide!$H52)</f>
        <v>204.81642028069444</v>
      </c>
      <c r="AP23">
        <f>PnL(($D$7*(1+AP$2)),$E23,(RiskSlide!$A$7),($G23+AP$3),((RiskSlide!$A$10)/260),$C23,$B23,RiskSlide!$H52)</f>
        <v>153.00760605638288</v>
      </c>
      <c r="AQ23">
        <f>PnL(($D$7*(1+AQ$2)),$E23,(RiskSlide!$A$7),($G23+AQ$3),((RiskSlide!$A$10)/260),$C23,$B23,RiskSlide!$H52)</f>
        <v>104.72511607242083</v>
      </c>
      <c r="AR23">
        <f>PnL(($D$7*(1+AR$2)),$E23,(RiskSlide!$A$7),($G23+AR$3),((RiskSlide!$A$10)/260),$C23,$B23,RiskSlide!$H52)</f>
        <v>59.95509197545168</v>
      </c>
      <c r="AS23">
        <f>PnL(($D$7*(1+AS$2)),$E23,(RiskSlide!$A$7),($G23+AS$3),((RiskSlide!$A$10)/260),$C23,$B23,RiskSlide!$H52)</f>
        <v>-178.16007804768165</v>
      </c>
      <c r="AT23">
        <f>PnL(($D$7*(1+AT$2)),$E23,(RiskSlide!$A$7),($G23+AT$3),((RiskSlide!$A$10)/260),$C23,$B23,RiskSlide!$H52)</f>
        <v>-253.95771974846312</v>
      </c>
      <c r="AU23">
        <f>PnL(($D$7*(1+AU$2)),$E23,(RiskSlide!$A$7),($G23+AU$3),((RiskSlide!$A$10)/260),$C23,$B23,RiskSlide!$H52)</f>
        <v>1339.0535752238995</v>
      </c>
      <c r="AV23">
        <f>PnL(($D$7*(1+AV$2)),$E23,(RiskSlide!$A$7),($G23+AV$3),((RiskSlide!$A$10)/260),$C23,$B23,RiskSlide!$H52)</f>
        <v>514.91600727071682</v>
      </c>
      <c r="AW23">
        <f>PnL(($D$7*(1+AW$2)),$E23,(RiskSlide!$A$7),($G23+AW$3),((RiskSlide!$A$10)/260),$C23,$B23,RiskSlide!$H52)</f>
        <v>77.577482699905076</v>
      </c>
      <c r="AX23">
        <f>PnL(($D$7*(1+AX$2)),$E23,(RiskSlide!$A$7),($G23+AX$3),((RiskSlide!$A$10)/260),$C23,$B23,RiskSlide!$H52)</f>
        <v>37.23076184119769</v>
      </c>
      <c r="AY23">
        <f>PnL(($D$7*(1+AY$2)),$E23,(RiskSlide!$A$7),($G23+AY$3),((RiskSlide!$A$10)/260),$C23,$B23,RiskSlide!$H52)</f>
        <v>0</v>
      </c>
      <c r="AZ23">
        <f>PnL(($D$7*(1+AZ$2)),$E23,(RiskSlide!$A$7),($G23+AZ$3),((RiskSlide!$A$10)/260),$C23,$B23,RiskSlide!$H52)</f>
        <v>-34.163213845455331</v>
      </c>
      <c r="BA23">
        <f>PnL(($D$7*(1+BA$2)),$E23,(RiskSlide!$A$7),($G23+BA$3),((RiskSlide!$A$10)/260),$C23,$B23,RiskSlide!$H52)</f>
        <v>-65.319561552302474</v>
      </c>
      <c r="BB23">
        <f>PnL(($D$7*(1+BB$2)),$E23,(RiskSlide!$A$7),($G23+BB$3),((RiskSlide!$A$10)/260),$C23,$B23,RiskSlide!$H52)</f>
        <v>-218.05419013353148</v>
      </c>
      <c r="BC23">
        <f>PnL(($D$7*(1+BC$2)),$E23,(RiskSlide!$A$7),($G23+BC$3),((RiskSlide!$A$10)/260),$C23,$B23,RiskSlide!$H52)</f>
        <v>-255.66801387186297</v>
      </c>
      <c r="BD23">
        <f>PnL(($D$7*(1+BD$2)),$E23,(RiskSlide!$A$7),($G23+BD$3),((RiskSlide!$A$10)/260),$C23,$B23,RiskSlide!$H52)</f>
        <v>956.2362954205106</v>
      </c>
      <c r="BE23">
        <f>PnL(($D$7*(1+BE$2)),$E23,(RiskSlide!$A$7),($G23+BE$3),((RiskSlide!$A$10)/260),$C23,$B23,RiskSlide!$H52)</f>
        <v>283.99921309903391</v>
      </c>
      <c r="BF23">
        <f>PnL(($D$7*(1+BF$2)),$E23,(RiskSlide!$A$7),($G23+BF$3),((RiskSlide!$A$10)/260),$C23,$B23,RiskSlide!$H52)</f>
        <v>-45.294130721060455</v>
      </c>
      <c r="BG23">
        <f>PnL(($D$7*(1+BG$2)),$E23,(RiskSlide!$A$7),($G23+BG$3),((RiskSlide!$A$10)/260),$C23,$B23,RiskSlide!$H52)</f>
        <v>-73.847554890458156</v>
      </c>
      <c r="BH23">
        <f>PnL(($D$7*(1+BH$2)),$E23,(RiskSlide!$A$7),($G23+BH$3),((RiskSlide!$A$10)/260),$C23,$B23,RiskSlide!$H52)</f>
        <v>-99.781828558694656</v>
      </c>
      <c r="BI23">
        <f>PnL(($D$7*(1+BI$2)),$E23,(RiskSlide!$A$7),($G23+BI$3),((RiskSlide!$A$10)/260),$C23,$B23,RiskSlide!$H52)</f>
        <v>-123.17953840773387</v>
      </c>
      <c r="BJ23">
        <f>PnL(($D$7*(1+BJ$2)),$E23,(RiskSlide!$A$7),($G23+BJ$3),((RiskSlide!$A$10)/260),$C23,$B23,RiskSlide!$H52)</f>
        <v>-144.134084834009</v>
      </c>
      <c r="BK23">
        <f>PnL(($D$7*(1+BK$2)),$E23,(RiskSlide!$A$7),($G23+BK$3),((RiskSlide!$A$10)/260),$C23,$B23,RiskSlide!$H52)</f>
        <v>-238.39609899322696</v>
      </c>
      <c r="BL23">
        <f>PnL(($D$7*(1+BL$2)),$E23,(RiskSlide!$A$7),($G23+BL$3),((RiskSlide!$A$10)/260),$C23,$B23,RiskSlide!$H52)</f>
        <v>-256.1453454719105</v>
      </c>
      <c r="BM23">
        <f>PnL(($D$7*(1+BM$2)),$E23,(RiskSlide!$A$7),($G23+BM$3),((RiskSlide!$A$10)/260),$C23,$B23,RiskSlide!$H52)</f>
        <v>655.40046295109278</v>
      </c>
      <c r="BN23">
        <f>PnL(($D$7*(1+BN$2)),$E23,(RiskSlide!$A$7),($G23+BN$3),((RiskSlide!$A$10)/260),$C23,$B23,RiskSlide!$H52)</f>
        <v>116.27203347210973</v>
      </c>
      <c r="BO23">
        <f>PnL(($D$7*(1+BO$2)),$E23,(RiskSlide!$A$7),($G23+BO$3),((RiskSlide!$A$10)/260),$C23,$B23,RiskSlide!$H52)</f>
        <v>-125.94625864439112</v>
      </c>
      <c r="BP23">
        <f>PnL(($D$7*(1+BP$2)),$E23,(RiskSlide!$A$7),($G23+BP$3),((RiskSlide!$A$10)/260),$C23,$B23,RiskSlide!$H52)</f>
        <v>-145.56935955946582</v>
      </c>
      <c r="BQ23">
        <f>PnL(($D$7*(1+BQ$2)),$E23,(RiskSlide!$A$7),($G23+BQ$3),((RiskSlide!$A$10)/260),$C23,$B23,RiskSlide!$H52)</f>
        <v>-163.08909349982309</v>
      </c>
      <c r="BR23">
        <f>PnL(($D$7*(1+BR$2)),$E23,(RiskSlide!$A$7),($G23+BR$3),((RiskSlide!$A$10)/260),$C23,$B23,RiskSlide!$H52)</f>
        <v>-178.60763141504538</v>
      </c>
      <c r="BS23">
        <f>PnL(($D$7*(1+BS$2)),$E23,(RiskSlide!$A$7),($G23+BS$3),((RiskSlide!$A$10)/260),$C23,$B23,RiskSlide!$H52)</f>
        <v>-192.23494908369415</v>
      </c>
      <c r="BT23">
        <f>PnL(($D$7*(1+BT$2)),$E23,(RiskSlide!$A$7),($G23+BT$3),((RiskSlide!$A$10)/260),$C23,$B23,RiskSlide!$H52)</f>
        <v>-248.28440134687369</v>
      </c>
      <c r="BU23">
        <f>PnL(($D$7*(1+BU$2)),$E23,(RiskSlide!$A$7),($G23+BU$3),((RiskSlide!$A$10)/260),$C23,$B23,RiskSlide!$H52)</f>
        <v>-256.26593790860062</v>
      </c>
      <c r="BV23">
        <f>PnL(($D$7*(1+BV$2)),$E23,(RiskSlide!$A$7),($G23+BV$3),((RiskSlide!$A$10)/260),$C23,$B23,RiskSlide!$H52)</f>
        <v>-193.11873880637097</v>
      </c>
      <c r="BW23">
        <f>PnL(($D$7*(1+BW$2)),$E23,(RiskSlide!$A$7),($G23+BW$3),((RiskSlide!$A$10)/260),$C23,$B23,RiskSlide!$H52)</f>
        <v>-245.52679230439395</v>
      </c>
      <c r="BX23">
        <f>PnL(($D$7*(1+BX$2)),$E23,(RiskSlide!$A$7),($G23+BX$3),((RiskSlide!$A$10)/260),$C23,$B23,RiskSlide!$H52)</f>
        <v>-255.07739468619639</v>
      </c>
      <c r="BY23">
        <f>PnL(($D$7*(1+BY$2)),$E23,(RiskSlide!$A$7),($G23+BY$3),((RiskSlide!$A$10)/260),$C23,$B23,RiskSlide!$H52)</f>
        <v>-255.43521101622969</v>
      </c>
      <c r="BZ23">
        <f>PnL(($D$7*(1+BZ$2)),$E23,(RiskSlide!$A$7),($G23+BZ$3),((RiskSlide!$A$10)/260),$C23,$B23,RiskSlide!$H52)</f>
        <v>-255.70129291479688</v>
      </c>
      <c r="CA23">
        <f>PnL(($D$7*(1+CA$2)),$E23,(RiskSlide!$A$7),($G23+CA$3),((RiskSlide!$A$10)/260),$C23,$B23,RiskSlide!$H52)</f>
        <v>-255.89511600846191</v>
      </c>
      <c r="CB23">
        <f>PnL(($D$7*(1+CB$2)),$E23,(RiskSlide!$A$7),($G23+CB$3),((RiskSlide!$A$10)/260),$C23,$B23,RiskSlide!$H52)</f>
        <v>-256.03314795540132</v>
      </c>
      <c r="CC23">
        <f>PnL(($D$7*(1+CC$2)),$E23,(RiskSlide!$A$7),($G23+CC$3),((RiskSlide!$A$10)/260),$C23,$B23,RiskSlide!$H52)</f>
        <v>-256.29791609749003</v>
      </c>
      <c r="CD23">
        <f>PnL(($D$7*(1+CD$2)),$E23,(RiskSlide!$A$7),($G23+CD$3),((RiskSlide!$A$10)/260),$C23,$B23,RiskSlide!$H52)</f>
        <v>-256.30056185012086</v>
      </c>
      <c r="CE23">
        <f>PnL(($D$7*(1+CE$2)),$E23,(RiskSlide!$A$7),($G23+CE$3),((RiskSlide!$A$10)/260),$C23,$B23,RiskSlide!$H52)</f>
        <v>-255.4272217480476</v>
      </c>
      <c r="CF23">
        <f>PnL(($D$7*(1+CF$2)),$E23,(RiskSlide!$A$7),($G23+CF$3),((RiskSlide!$A$10)/260),$C23,$B23,RiskSlide!$H52)</f>
        <v>-256.26826092951478</v>
      </c>
      <c r="CG23">
        <f>PnL(($D$7*(1+CG$2)),$E23,(RiskSlide!$A$7),($G23+CG$3),((RiskSlide!$A$10)/260),$C23,$B23,RiskSlide!$H52)</f>
        <v>-256.3000612591195</v>
      </c>
      <c r="CH23">
        <f>PnL(($D$7*(1+CH$2)),$E23,(RiskSlide!$A$7),($G23+CH$3),((RiskSlide!$A$10)/260),$C23,$B23,RiskSlide!$H52)</f>
        <v>-256.30030604894688</v>
      </c>
      <c r="CI23">
        <f>PnL(($D$7*(1+CI$2)),$E23,(RiskSlide!$A$7),($G23+CI$3),((RiskSlide!$A$10)/260),$C23,$B23,RiskSlide!$H52)</f>
        <v>-256.30043671484896</v>
      </c>
      <c r="CJ23">
        <f>PnL(($D$7*(1+CJ$2)),$E23,(RiskSlide!$A$7),($G23+CJ$3),((RiskSlide!$A$10)/260),$C23,$B23,RiskSlide!$H52)</f>
        <v>-256.3005034848926</v>
      </c>
      <c r="CK23">
        <f>PnL(($D$7*(1+CK$2)),$E23,(RiskSlide!$A$7),($G23+CK$3),((RiskSlide!$A$10)/260),$C23,$B23,RiskSlide!$H52)</f>
        <v>-256.30053601316246</v>
      </c>
      <c r="CL23">
        <f>PnL(($D$7*(1+CL$2)),$E23,(RiskSlide!$A$7),($G23+CL$3),((RiskSlide!$A$10)/260),$C23,$B23,RiskSlide!$H52)</f>
        <v>-256.30056185481095</v>
      </c>
      <c r="CM23">
        <f>PnL(($D$7*(1+CM$2)),$E23,(RiskSlide!$A$7),($G23+CM$3),((RiskSlide!$A$10)/260),$C23,$B23,RiskSlide!$H52)</f>
        <v>-256.30056185750971</v>
      </c>
    </row>
    <row r="24" spans="1:91" x14ac:dyDescent="0.25">
      <c r="A24" t="s">
        <v>19</v>
      </c>
      <c r="B24">
        <v>2</v>
      </c>
      <c r="C24">
        <v>0</v>
      </c>
      <c r="E24">
        <v>1695</v>
      </c>
      <c r="F24">
        <v>3.5000000000000001E-3</v>
      </c>
      <c r="G24">
        <v>0.21320600000000001</v>
      </c>
      <c r="K24">
        <f>PnL(($D$7*(1+K$2)),$E24,(RiskSlide!$A$7),($G24+K$3),((RiskSlide!$A$10)/260),$C24,$B24,RiskSlide!$H53)</f>
        <v>9294.1184883503338</v>
      </c>
      <c r="L24">
        <f>PnL(($D$7*(1+L$2)),$E24,(RiskSlide!$A$7),($G24+L$3),((RiskSlide!$A$10)/260),$C24,$B24,RiskSlide!$H53)</f>
        <v>9171.2433987059667</v>
      </c>
      <c r="M24">
        <f>PnL(($D$7*(1+M$2)),$E24,(RiskSlide!$A$7),($G24+M$3),((RiskSlide!$A$10)/260),$C24,$B24,RiskSlide!$H53)</f>
        <v>9110.48151023637</v>
      </c>
      <c r="N24">
        <f>PnL(($D$7*(1+N$2)),$E24,(RiskSlide!$A$7),($G24+N$3),((RiskSlide!$A$10)/260),$C24,$B24,RiskSlide!$H53)</f>
        <v>9105.1918663057149</v>
      </c>
      <c r="O24">
        <f>PnL(($D$7*(1+O$2)),$E24,(RiskSlide!$A$7),($G24+O$3),((RiskSlide!$A$10)/260),$C24,$B24,RiskSlide!$H53)</f>
        <v>9100.3852796392202</v>
      </c>
      <c r="P24">
        <f>PnL(($D$7*(1+P$2)),$E24,(RiskSlide!$A$7),($G24+P$3),((RiskSlide!$A$10)/260),$C24,$B24,RiskSlide!$H53)</f>
        <v>9096.0476443282387</v>
      </c>
      <c r="Q24">
        <f>PnL(($D$7*(1+Q$2)),$E24,(RiskSlide!$A$7),($G24+Q$3),((RiskSlide!$A$10)/260),$C24,$B24,RiskSlide!$H53)</f>
        <v>9092.1627342718621</v>
      </c>
      <c r="R24">
        <f>PnL(($D$7*(1+R$2)),$E24,(RiskSlide!$A$7),($G24+R$3),((RiskSlide!$A$10)/260),$C24,$B24,RiskSlide!$H53)</f>
        <v>9074.7542884385603</v>
      </c>
      <c r="S24">
        <f>PnL(($D$7*(1+S$2)),$E24,(RiskSlide!$A$7),($G24+S$3),((RiskSlide!$A$10)/260),$C24,$B24,RiskSlide!$H53)</f>
        <v>9071.6049411320619</v>
      </c>
      <c r="T24">
        <f>PnL(($D$7*(1+T$2)),$E24,(RiskSlide!$A$7),($G24+T$3),((RiskSlide!$A$10)/260),$C24,$B24,RiskSlide!$H53)</f>
        <v>2681.5789171764704</v>
      </c>
      <c r="U24">
        <f>PnL(($D$7*(1+U$2)),$E24,(RiskSlide!$A$7),($G24+U$3),((RiskSlide!$A$10)/260),$C24,$B24,RiskSlide!$H53)</f>
        <v>2262.8317689099772</v>
      </c>
      <c r="V24">
        <f>PnL(($D$7*(1+V$2)),$E24,(RiskSlide!$A$7),($G24+V$3),((RiskSlide!$A$10)/260),$C24,$B24,RiskSlide!$H53)</f>
        <v>1927.9037264210317</v>
      </c>
      <c r="W24">
        <f>PnL(($D$7*(1+W$2)),$E24,(RiskSlide!$A$7),($G24+W$3),((RiskSlide!$A$10)/260),$C24,$B24,RiskSlide!$H53)</f>
        <v>1886.0445059031733</v>
      </c>
      <c r="X24">
        <f>PnL(($D$7*(1+X$2)),$E24,(RiskSlide!$A$7),($G24+X$3),((RiskSlide!$A$10)/260),$C24,$B24,RiskSlide!$H53)</f>
        <v>1844.1872042332236</v>
      </c>
      <c r="Y24">
        <f>PnL(($D$7*(1+Y$2)),$E24,(RiskSlide!$A$7),($G24+Y$3),((RiskSlide!$A$10)/260),$C24,$B24,RiskSlide!$H53)</f>
        <v>1802.3319762331355</v>
      </c>
      <c r="Z24">
        <f>PnL(($D$7*(1+Z$2)),$E24,(RiskSlide!$A$7),($G24+Z$3),((RiskSlide!$A$10)/260),$C24,$B24,RiskSlide!$H53)</f>
        <v>1760.4789915513422</v>
      </c>
      <c r="AA24">
        <f>PnL(($D$7*(1+AA$2)),$E24,(RiskSlide!$A$7),($G24+AA$3),((RiskSlide!$A$10)/260),$C24,$B24,RiskSlide!$H53)</f>
        <v>1425.7629200742301</v>
      </c>
      <c r="AB24">
        <f>PnL(($D$7*(1+AB$2)),$E24,(RiskSlide!$A$7),($G24+AB$3),((RiskSlide!$A$10)/260),$C24,$B24,RiskSlide!$H53)</f>
        <v>1007.8770221400234</v>
      </c>
      <c r="AC24">
        <f>PnL(($D$7*(1+AC$2)),$E24,(RiskSlide!$A$7),($G24+AC$3),((RiskSlide!$A$10)/260),$C24,$B24,RiskSlide!$H53)</f>
        <v>477.38731811022461</v>
      </c>
      <c r="AD24">
        <f>PnL(($D$7*(1+AD$2)),$E24,(RiskSlide!$A$7),($G24+AD$3),((RiskSlide!$A$10)/260),$C24,$B24,RiskSlide!$H53)</f>
        <v>249.14363681377409</v>
      </c>
      <c r="AE24">
        <f>PnL(($D$7*(1+AE$2)),$E24,(RiskSlide!$A$7),($G24+AE$3),((RiskSlide!$A$10)/260),$C24,$B24,RiskSlide!$H53)</f>
        <v>107.29217849679884</v>
      </c>
      <c r="AF24">
        <f>PnL(($D$7*(1+AF$2)),$E24,(RiskSlide!$A$7),($G24+AF$3),((RiskSlide!$A$10)/260),$C24,$B24,RiskSlide!$H53)</f>
        <v>92.566559527389813</v>
      </c>
      <c r="AG24">
        <f>PnL(($D$7*(1+AG$2)),$E24,(RiskSlide!$A$7),($G24+AG$3),((RiskSlide!$A$10)/260),$C24,$B24,RiskSlide!$H53)</f>
        <v>78.559172472186845</v>
      </c>
      <c r="AH24">
        <f>PnL(($D$7*(1+AH$2)),$E24,(RiskSlide!$A$7),($G24+AH$3),((RiskSlide!$A$10)/260),$C24,$B24,RiskSlide!$H53)</f>
        <v>65.282885336070251</v>
      </c>
      <c r="AI24">
        <f>PnL(($D$7*(1+AI$2)),$E24,(RiskSlide!$A$7),($G24+AI$3),((RiskSlide!$A$10)/260),$C24,$B24,RiskSlide!$H53)</f>
        <v>52.749215080363854</v>
      </c>
      <c r="AJ24">
        <f>PnL(($D$7*(1+AJ$2)),$E24,(RiskSlide!$A$7),($G24+AJ$3),((RiskSlide!$A$10)/260),$C24,$B24,RiskSlide!$H53)</f>
        <v>-20.112587183569985</v>
      </c>
      <c r="AK24">
        <f>PnL(($D$7*(1+AK$2)),$E24,(RiskSlide!$A$7),($G24+AK$3),((RiskSlide!$A$10)/260),$C24,$B24,RiskSlide!$H53)</f>
        <v>-50.314209447435012</v>
      </c>
      <c r="AL24">
        <f>PnL(($D$7*(1+AL$2)),$E24,(RiskSlide!$A$7),($G24+AL$3),((RiskSlide!$A$10)/260),$C24,$B24,RiskSlide!$H53)</f>
        <v>358.95241292312647</v>
      </c>
      <c r="AM24">
        <f>PnL(($D$7*(1+AM$2)),$E24,(RiskSlide!$A$7),($G24+AM$3),((RiskSlide!$A$10)/260),$C24,$B24,RiskSlide!$H53)</f>
        <v>165.44119456411437</v>
      </c>
      <c r="AN24">
        <f>PnL(($D$7*(1+AN$2)),$E24,(RiskSlide!$A$7),($G24+AN$3),((RiskSlide!$A$10)/260),$C24,$B24,RiskSlide!$H53)</f>
        <v>52.985314521028215</v>
      </c>
      <c r="AO24">
        <f>PnL(($D$7*(1+AO$2)),$E24,(RiskSlide!$A$7),($G24+AO$3),((RiskSlide!$A$10)/260),$C24,$B24,RiskSlide!$H53)</f>
        <v>41.890868315536522</v>
      </c>
      <c r="AP24">
        <f>PnL(($D$7*(1+AP$2)),$E24,(RiskSlide!$A$7),($G24+AP$3),((RiskSlide!$A$10)/260),$C24,$B24,RiskSlide!$H53)</f>
        <v>31.477939363814755</v>
      </c>
      <c r="AQ24">
        <f>PnL(($D$7*(1+AQ$2)),$E24,(RiskSlide!$A$7),($G24+AQ$3),((RiskSlide!$A$10)/260),$C24,$B24,RiskSlide!$H53)</f>
        <v>21.749179512936223</v>
      </c>
      <c r="AR24">
        <f>PnL(($D$7*(1+AR$2)),$E24,(RiskSlide!$A$7),($G24+AR$3),((RiskSlide!$A$10)/260),$C24,$B24,RiskSlide!$H53)</f>
        <v>12.705099082980809</v>
      </c>
      <c r="AS24">
        <f>PnL(($D$7*(1+AS$2)),$E24,(RiskSlide!$A$7),($G24+AS$3),((RiskSlide!$A$10)/260),$C24,$B24,RiskSlide!$H53)</f>
        <v>-35.866659585515492</v>
      </c>
      <c r="AT24">
        <f>PnL(($D$7*(1+AT$2)),$E24,(RiskSlide!$A$7),($G24+AT$3),((RiskSlide!$A$10)/260),$C24,$B24,RiskSlide!$H53)</f>
        <v>-51.448831444316333</v>
      </c>
      <c r="AU24">
        <f>PnL(($D$7*(1+AU$2)),$E24,(RiskSlide!$A$7),($G24+AU$3),((RiskSlide!$A$10)/260),$C24,$B24,RiskSlide!$H53)</f>
        <v>263.50096591147718</v>
      </c>
      <c r="AV24">
        <f>PnL(($D$7*(1+AV$2)),$E24,(RiskSlide!$A$7),($G24+AV$3),((RiskSlide!$A$10)/260),$C24,$B24,RiskSlide!$H53)</f>
        <v>102.45360365181</v>
      </c>
      <c r="AW24">
        <f>PnL(($D$7*(1+AW$2)),$E24,(RiskSlide!$A$7),($G24+AW$3),((RiskSlide!$A$10)/260),$C24,$B24,RiskSlide!$H53)</f>
        <v>15.578513156265927</v>
      </c>
      <c r="AX24">
        <f>PnL(($D$7*(1+AX$2)),$E24,(RiskSlide!$A$7),($G24+AX$3),((RiskSlide!$A$10)/260),$C24,$B24,RiskSlide!$H53)</f>
        <v>7.4844820156535263</v>
      </c>
      <c r="AY24">
        <f>PnL(($D$7*(1+AY$2)),$E24,(RiskSlide!$A$7),($G24+AY$3),((RiskSlide!$A$10)/260),$C24,$B24,RiskSlide!$H53)</f>
        <v>0</v>
      </c>
      <c r="AZ24">
        <f>PnL(($D$7*(1+AZ$2)),$E24,(RiskSlide!$A$7),($G24+AZ$3),((RiskSlide!$A$10)/260),$C24,$B24,RiskSlide!$H53)</f>
        <v>-6.8819311449850318</v>
      </c>
      <c r="BA24">
        <f>PnL(($D$7*(1+BA$2)),$E24,(RiskSlide!$A$7),($G24+BA$3),((RiskSlide!$A$10)/260),$C24,$B24,RiskSlide!$H53)</f>
        <v>-13.170762086379284</v>
      </c>
      <c r="BB24">
        <f>PnL(($D$7*(1+BB$2)),$E24,(RiskSlide!$A$7),($G24+BB$3),((RiskSlide!$A$10)/260),$C24,$B24,RiskSlide!$H53)</f>
        <v>-44.188899998758124</v>
      </c>
      <c r="BC24">
        <f>PnL(($D$7*(1+BC$2)),$E24,(RiskSlide!$A$7),($G24+BC$3),((RiskSlide!$A$10)/260),$C24,$B24,RiskSlide!$H53)</f>
        <v>-51.778971801415999</v>
      </c>
      <c r="BD24">
        <f>PnL(($D$7*(1+BD$2)),$E24,(RiskSlide!$A$7),($G24+BD$3),((RiskSlide!$A$10)/260),$C24,$B24,RiskSlide!$H53)</f>
        <v>187.53896487491062</v>
      </c>
      <c r="BE24">
        <f>PnL(($D$7*(1+BE$2)),$E24,(RiskSlide!$A$7),($G24+BE$3),((RiskSlide!$A$10)/260),$C24,$B24,RiskSlide!$H53)</f>
        <v>55.922494471423079</v>
      </c>
      <c r="BF24">
        <f>PnL(($D$7*(1+BF$2)),$E24,(RiskSlide!$A$7),($G24+BF$3),((RiskSlide!$A$10)/260),$C24,$B24,RiskSlide!$H53)</f>
        <v>-9.5147532795806455</v>
      </c>
      <c r="BG24">
        <f>PnL(($D$7*(1+BG$2)),$E24,(RiskSlide!$A$7),($G24+BG$3),((RiskSlide!$A$10)/260),$C24,$B24,RiskSlide!$H53)</f>
        <v>-15.235669715456623</v>
      </c>
      <c r="BH24">
        <f>PnL(($D$7*(1+BH$2)),$E24,(RiskSlide!$A$7),($G24+BH$3),((RiskSlide!$A$10)/260),$C24,$B24,RiskSlide!$H53)</f>
        <v>-20.439801081516151</v>
      </c>
      <c r="BI24">
        <f>PnL(($D$7*(1+BI$2)),$E24,(RiskSlide!$A$7),($G24+BI$3),((RiskSlide!$A$10)/260),$C24,$B24,RiskSlide!$H53)</f>
        <v>-25.141672953633787</v>
      </c>
      <c r="BJ24">
        <f>PnL(($D$7*(1+BJ$2)),$E24,(RiskSlide!$A$7),($G24+BJ$3),((RiskSlide!$A$10)/260),$C24,$B24,RiskSlide!$H53)</f>
        <v>-29.358077873083843</v>
      </c>
      <c r="BK24">
        <f>PnL(($D$7*(1+BK$2)),$E24,(RiskSlide!$A$7),($G24+BK$3),((RiskSlide!$A$10)/260),$C24,$B24,RiskSlide!$H53)</f>
        <v>-48.362887939117712</v>
      </c>
      <c r="BL24">
        <f>PnL(($D$7*(1+BL$2)),$E24,(RiskSlide!$A$7),($G24+BL$3),((RiskSlide!$A$10)/260),$C24,$B24,RiskSlide!$H53)</f>
        <v>-51.864822964560986</v>
      </c>
      <c r="BM24">
        <f>PnL(($D$7*(1+BM$2)),$E24,(RiskSlide!$A$7),($G24+BM$3),((RiskSlide!$A$10)/260),$C24,$B24,RiskSlide!$H53)</f>
        <v>127.84668717846444</v>
      </c>
      <c r="BN24">
        <f>PnL(($D$7*(1+BN$2)),$E24,(RiskSlide!$A$7),($G24+BN$3),((RiskSlide!$A$10)/260),$C24,$B24,RiskSlide!$H53)</f>
        <v>22.1781410221908</v>
      </c>
      <c r="BO24">
        <f>PnL(($D$7*(1+BO$2)),$E24,(RiskSlide!$A$7),($G24+BO$3),((RiskSlide!$A$10)/260),$C24,$B24,RiskSlide!$H53)</f>
        <v>-25.908532914816718</v>
      </c>
      <c r="BP24">
        <f>PnL(($D$7*(1+BP$2)),$E24,(RiskSlide!$A$7),($G24+BP$3),((RiskSlide!$A$10)/260),$C24,$B24,RiskSlide!$H53)</f>
        <v>-29.827922602612134</v>
      </c>
      <c r="BQ24">
        <f>PnL(($D$7*(1+BQ$2)),$E24,(RiskSlide!$A$7),($G24+BQ$3),((RiskSlide!$A$10)/260),$C24,$B24,RiskSlide!$H53)</f>
        <v>-33.330220971773272</v>
      </c>
      <c r="BR24">
        <f>PnL(($D$7*(1+BR$2)),$E24,(RiskSlide!$A$7),($G24+BR$3),((RiskSlide!$A$10)/260),$C24,$B24,RiskSlide!$H53)</f>
        <v>-36.434569659102323</v>
      </c>
      <c r="BS24">
        <f>PnL(($D$7*(1+BS$2)),$E24,(RiskSlide!$A$7),($G24+BS$3),((RiskSlide!$A$10)/260),$C24,$B24,RiskSlide!$H53)</f>
        <v>-39.161819519318541</v>
      </c>
      <c r="BT24">
        <f>PnL(($D$7*(1+BT$2)),$E24,(RiskSlide!$A$7),($G24+BT$3),((RiskSlide!$A$10)/260),$C24,$B24,RiskSlide!$H53)</f>
        <v>-50.350734567386809</v>
      </c>
      <c r="BU24">
        <f>PnL(($D$7*(1+BU$2)),$E24,(RiskSlide!$A$7),($G24+BU$3),((RiskSlide!$A$10)/260),$C24,$B24,RiskSlide!$H53)</f>
        <v>-51.884788170476426</v>
      </c>
      <c r="BV24">
        <f>PnL(($D$7*(1+BV$2)),$E24,(RiskSlide!$A$7),($G24+BV$3),((RiskSlide!$A$10)/260),$C24,$B24,RiskSlide!$H53)</f>
        <v>-39.793139761360052</v>
      </c>
      <c r="BW24">
        <f>PnL(($D$7*(1+BW$2)),$E24,(RiskSlide!$A$7),($G24+BW$3),((RiskSlide!$A$10)/260),$C24,$B24,RiskSlide!$H53)</f>
        <v>-49.870618752866534</v>
      </c>
      <c r="BX24">
        <f>PnL(($D$7*(1+BX$2)),$E24,(RiskSlide!$A$7),($G24+BX$3),((RiskSlide!$A$10)/260),$C24,$B24,RiskSlide!$H53)</f>
        <v>-51.671572780223549</v>
      </c>
      <c r="BY24">
        <f>PnL(($D$7*(1+BY$2)),$E24,(RiskSlide!$A$7),($G24+BY$3),((RiskSlide!$A$10)/260),$C24,$B24,RiskSlide!$H53)</f>
        <v>-51.736980437628276</v>
      </c>
      <c r="BZ24">
        <f>PnL(($D$7*(1+BZ$2)),$E24,(RiskSlide!$A$7),($G24+BZ$3),((RiskSlide!$A$10)/260),$C24,$B24,RiskSlide!$H53)</f>
        <v>-51.785189640553057</v>
      </c>
      <c r="CA24">
        <f>PnL(($D$7*(1+CA$2)),$E24,(RiskSlide!$A$7),($G24+CA$3),((RiskSlide!$A$10)/260),$C24,$B24,RiskSlide!$H53)</f>
        <v>-51.819952018331662</v>
      </c>
      <c r="CB24">
        <f>PnL(($D$7*(1+CB$2)),$E24,(RiskSlide!$A$7),($G24+CB$3),((RiskSlide!$A$10)/260),$C24,$B24,RiskSlide!$H53)</f>
        <v>-51.844422042037252</v>
      </c>
      <c r="CC24">
        <f>PnL(($D$7*(1+CC$2)),$E24,(RiskSlide!$A$7),($G24+CC$3),((RiskSlide!$A$10)/260),$C24,$B24,RiskSlide!$H53)</f>
        <v>-51.889509542378221</v>
      </c>
      <c r="CD24">
        <f>PnL(($D$7*(1+CD$2)),$E24,(RiskSlide!$A$7),($G24+CD$3),((RiskSlide!$A$10)/260),$C24,$B24,RiskSlide!$H53)</f>
        <v>-51.889870769005043</v>
      </c>
      <c r="CE24">
        <f>PnL(($D$7*(1+CE$2)),$E24,(RiskSlide!$A$7),($G24+CE$3),((RiskSlide!$A$10)/260),$C24,$B24,RiskSlide!$H53)</f>
        <v>-51.735364287143341</v>
      </c>
      <c r="CF24">
        <f>PnL(($D$7*(1+CF$2)),$E24,(RiskSlide!$A$7),($G24+CF$3),((RiskSlide!$A$10)/260),$C24,$B24,RiskSlide!$H53)</f>
        <v>-51.884649162651385</v>
      </c>
      <c r="CG24">
        <f>PnL(($D$7*(1+CG$2)),$E24,(RiskSlide!$A$7),($G24+CG$3),((RiskSlide!$A$10)/260),$C24,$B24,RiskSlide!$H53)</f>
        <v>-51.88980209433911</v>
      </c>
      <c r="CH24">
        <f>PnL(($D$7*(1+CH$2)),$E24,(RiskSlide!$A$7),($G24+CH$3),((RiskSlide!$A$10)/260),$C24,$B24,RiskSlide!$H53)</f>
        <v>-51.889836760714545</v>
      </c>
      <c r="CI24">
        <f>PnL(($D$7*(1+CI$2)),$E24,(RiskSlide!$A$7),($G24+CI$3),((RiskSlide!$A$10)/260),$C24,$B24,RiskSlide!$H53)</f>
        <v>-51.889854702675095</v>
      </c>
      <c r="CJ24">
        <f>PnL(($D$7*(1+CJ$2)),$E24,(RiskSlide!$A$7),($G24+CJ$3),((RiskSlide!$A$10)/260),$C24,$B24,RiskSlide!$H53)</f>
        <v>-51.88986356065034</v>
      </c>
      <c r="CK24">
        <f>PnL(($D$7*(1+CK$2)),$E24,(RiskSlide!$A$7),($G24+CK$3),((RiskSlide!$A$10)/260),$C24,$B24,RiskSlide!$H53)</f>
        <v>-51.889867713101843</v>
      </c>
      <c r="CL24">
        <f>PnL(($D$7*(1+CL$2)),$E24,(RiskSlide!$A$7),($G24+CL$3),((RiskSlide!$A$10)/260),$C24,$B24,RiskSlide!$H53)</f>
        <v>-51.889870769166343</v>
      </c>
      <c r="CM24">
        <f>PnL(($D$7*(1+CM$2)),$E24,(RiskSlide!$A$7),($G24+CM$3),((RiskSlide!$A$10)/260),$C24,$B24,RiskSlide!$H53)</f>
        <v>-51.889870769339552</v>
      </c>
    </row>
    <row r="25" spans="1:91" x14ac:dyDescent="0.25">
      <c r="A25" t="s">
        <v>20</v>
      </c>
      <c r="B25">
        <v>-42</v>
      </c>
      <c r="C25">
        <v>0</v>
      </c>
      <c r="E25">
        <v>1700</v>
      </c>
      <c r="F25">
        <v>3.5000000000000001E-3</v>
      </c>
      <c r="G25">
        <v>0.206703</v>
      </c>
      <c r="K25">
        <f>PnL(($D$7*(1+K$2)),$E25,(RiskSlide!$A$7),($G25+K$3),((RiskSlide!$A$10)/260),$C25,$B25,RiskSlide!$H54)</f>
        <v>-204465.06957499226</v>
      </c>
      <c r="L25">
        <f>PnL(($D$7*(1+L$2)),$E25,(RiskSlide!$A$7),($G25+L$3),((RiskSlide!$A$10)/260),$C25,$B25,RiskSlide!$H54)</f>
        <v>-202332.23462037093</v>
      </c>
      <c r="M25">
        <f>PnL(($D$7*(1+M$2)),$E25,(RiskSlide!$A$7),($G25+M$3),((RiskSlide!$A$10)/260),$C25,$B25,RiskSlide!$H54)</f>
        <v>-201371.05373485398</v>
      </c>
      <c r="N25">
        <f>PnL(($D$7*(1+N$2)),$E25,(RiskSlide!$A$7),($G25+N$3),((RiskSlide!$A$10)/260),$C25,$B25,RiskSlide!$H54)</f>
        <v>-201293.65945743726</v>
      </c>
      <c r="O25">
        <f>PnL(($D$7*(1+O$2)),$E25,(RiskSlide!$A$7),($G25+O$3),((RiskSlide!$A$10)/260),$C25,$B25,RiskSlide!$H54)</f>
        <v>-201224.76332641451</v>
      </c>
      <c r="P25">
        <f>PnL(($D$7*(1+P$2)),$E25,(RiskSlide!$A$7),($G25+P$3),((RiskSlide!$A$10)/260),$C25,$B25,RiskSlide!$H54)</f>
        <v>-201163.95993196502</v>
      </c>
      <c r="Q25">
        <f>PnL(($D$7*(1+Q$2)),$E25,(RiskSlide!$A$7),($G25+Q$3),((RiskSlide!$A$10)/260),$C25,$B25,RiskSlide!$H54)</f>
        <v>-201110.80703425503</v>
      </c>
      <c r="R25">
        <f>PnL(($D$7*(1+R$2)),$E25,(RiskSlide!$A$7),($G25+R$3),((RiskSlide!$A$10)/260),$C25,$B25,RiskSlide!$H54)</f>
        <v>-200898.56513637659</v>
      </c>
      <c r="S25">
        <f>PnL(($D$7*(1+S$2)),$E25,(RiskSlide!$A$7),($G25+S$3),((RiskSlide!$A$10)/260),$C25,$B25,RiskSlide!$H54)</f>
        <v>-200872.70941035062</v>
      </c>
      <c r="T25">
        <f>PnL(($D$7*(1+T$2)),$E25,(RiskSlide!$A$7),($G25+T$3),((RiskSlide!$A$10)/260),$C25,$B25,RiskSlide!$H54)</f>
        <v>-60669.579030630259</v>
      </c>
      <c r="U25">
        <f>PnL(($D$7*(1+U$2)),$E25,(RiskSlide!$A$7),($G25+U$3),((RiskSlide!$A$10)/260),$C25,$B25,RiskSlide!$H54)</f>
        <v>-51921.547725587967</v>
      </c>
      <c r="V25">
        <f>PnL(($D$7*(1+V$2)),$E25,(RiskSlide!$A$7),($G25+V$3),((RiskSlide!$A$10)/260),$C25,$B25,RiskSlide!$H54)</f>
        <v>-44944.039670202867</v>
      </c>
      <c r="W25">
        <f>PnL(($D$7*(1+W$2)),$E25,(RiskSlide!$A$7),($G25+W$3),((RiskSlide!$A$10)/260),$C25,$B25,RiskSlide!$H54)</f>
        <v>-44073.751983853217</v>
      </c>
      <c r="X25">
        <f>PnL(($D$7*(1+X$2)),$E25,(RiskSlide!$A$7),($G25+X$3),((RiskSlide!$A$10)/260),$C25,$B25,RiskSlide!$H54)</f>
        <v>-43203.989232412241</v>
      </c>
      <c r="Y25">
        <f>PnL(($D$7*(1+Y$2)),$E25,(RiskSlide!$A$7),($G25+Y$3),((RiskSlide!$A$10)/260),$C25,$B25,RiskSlide!$H54)</f>
        <v>-42334.790447308638</v>
      </c>
      <c r="Z25">
        <f>PnL(($D$7*(1+Z$2)),$E25,(RiskSlide!$A$7),($G25+Z$3),((RiskSlide!$A$10)/260),$C25,$B25,RiskSlide!$H54)</f>
        <v>-41466.198572973168</v>
      </c>
      <c r="AA25">
        <f>PnL(($D$7*(1+AA$2)),$E25,(RiskSlide!$A$7),($G25+AA$3),((RiskSlide!$A$10)/260),$C25,$B25,RiskSlide!$H54)</f>
        <v>-34546.242088408282</v>
      </c>
      <c r="AB25">
        <f>PnL(($D$7*(1+AB$2)),$E25,(RiskSlide!$A$7),($G25+AB$3),((RiskSlide!$A$10)/260),$C25,$B25,RiskSlide!$H54)</f>
        <v>-26031.116735309672</v>
      </c>
      <c r="AC25">
        <f>PnL(($D$7*(1+AC$2)),$E25,(RiskSlide!$A$7),($G25+AC$3),((RiskSlide!$A$10)/260),$C25,$B25,RiskSlide!$H54)</f>
        <v>-10898.674269906109</v>
      </c>
      <c r="AD25">
        <f>PnL(($D$7*(1+AD$2)),$E25,(RiskSlide!$A$7),($G25+AD$3),((RiskSlide!$A$10)/260),$C25,$B25,RiskSlide!$H54)</f>
        <v>-5782.8976462036953</v>
      </c>
      <c r="AE25">
        <f>PnL(($D$7*(1+AE$2)),$E25,(RiskSlide!$A$7),($G25+AE$3),((RiskSlide!$A$10)/260),$C25,$B25,RiskSlide!$H54)</f>
        <v>-2543.1921661717515</v>
      </c>
      <c r="AF25">
        <f>PnL(($D$7*(1+AF$2)),$E25,(RiskSlide!$A$7),($G25+AF$3),((RiskSlide!$A$10)/260),$C25,$B25,RiskSlide!$H54)</f>
        <v>-2202.6542329016015</v>
      </c>
      <c r="AG25">
        <f>PnL(($D$7*(1+AG$2)),$E25,(RiskSlide!$A$7),($G25+AG$3),((RiskSlide!$A$10)/260),$C25,$B25,RiskSlide!$H54)</f>
        <v>-1877.7466015831599</v>
      </c>
      <c r="AH25">
        <f>PnL(($D$7*(1+AH$2)),$E25,(RiskSlide!$A$7),($G25+AH$3),((RiskSlide!$A$10)/260),$C25,$B25,RiskSlide!$H54)</f>
        <v>-1568.8328308047296</v>
      </c>
      <c r="AI25">
        <f>PnL(($D$7*(1+AI$2)),$E25,(RiskSlide!$A$7),($G25+AI$3),((RiskSlide!$A$10)/260),$C25,$B25,RiskSlide!$H54)</f>
        <v>-1276.2536380414551</v>
      </c>
      <c r="AJ25">
        <f>PnL(($D$7*(1+AJ$2)),$E25,(RiskSlide!$A$7),($G25+AJ$3),((RiskSlide!$A$10)/260),$C25,$B25,RiskSlide!$H54)</f>
        <v>449.14163192563808</v>
      </c>
      <c r="AK25">
        <f>PnL(($D$7*(1+AK$2)),$E25,(RiskSlide!$A$7),($G25+AK$3),((RiskSlide!$A$10)/260),$C25,$B25,RiskSlide!$H54)</f>
        <v>1182.8567096128434</v>
      </c>
      <c r="AL25">
        <f>PnL(($D$7*(1+AL$2)),$E25,(RiskSlide!$A$7),($G25+AL$3),((RiskSlide!$A$10)/260),$C25,$B25,RiskSlide!$H54)</f>
        <v>-8185.2699180969457</v>
      </c>
      <c r="AM25">
        <f>PnL(($D$7*(1+AM$2)),$E25,(RiskSlide!$A$7),($G25+AM$3),((RiskSlide!$A$10)/260),$C25,$B25,RiskSlide!$H54)</f>
        <v>-3829.6525138305547</v>
      </c>
      <c r="AN25">
        <f>PnL(($D$7*(1+AN$2)),$E25,(RiskSlide!$A$7),($G25+AN$3),((RiskSlide!$A$10)/260),$C25,$B25,RiskSlide!$H54)</f>
        <v>-1251.1541649950252</v>
      </c>
      <c r="AO25">
        <f>PnL(($D$7*(1+AO$2)),$E25,(RiskSlide!$A$7),($G25+AO$3),((RiskSlide!$A$10)/260),$C25,$B25,RiskSlide!$H54)</f>
        <v>-993.71319935086933</v>
      </c>
      <c r="AP25">
        <f>PnL(($D$7*(1+AP$2)),$E25,(RiskSlide!$A$7),($G25+AP$3),((RiskSlide!$A$10)/260),$C25,$B25,RiskSlide!$H54)</f>
        <v>-751.41827803782849</v>
      </c>
      <c r="AQ25">
        <f>PnL(($D$7*(1+AQ$2)),$E25,(RiskSlide!$A$7),($G25+AQ$3),((RiskSlide!$A$10)/260),$C25,$B25,RiskSlide!$H54)</f>
        <v>-524.40383673626559</v>
      </c>
      <c r="AR25">
        <f>PnL(($D$7*(1+AR$2)),$E25,(RiskSlide!$A$7),($G25+AR$3),((RiskSlide!$A$10)/260),$C25,$B25,RiskSlide!$H54)</f>
        <v>-312.75964900896372</v>
      </c>
      <c r="AS25">
        <f>PnL(($D$7*(1+AS$2)),$E25,(RiskSlide!$A$7),($G25+AS$3),((RiskSlide!$A$10)/260),$C25,$B25,RiskSlide!$H54)</f>
        <v>836.8513098135079</v>
      </c>
      <c r="AT25">
        <f>PnL(($D$7*(1+AT$2)),$E25,(RiskSlide!$A$7),($G25+AT$3),((RiskSlide!$A$10)/260),$C25,$B25,RiskSlide!$H54)</f>
        <v>1210.0479732676708</v>
      </c>
      <c r="AU25">
        <f>PnL(($D$7*(1+AU$2)),$E25,(RiskSlide!$A$7),($G25+AU$3),((RiskSlide!$A$10)/260),$C25,$B25,RiskSlide!$H54)</f>
        <v>-5995.8454993212936</v>
      </c>
      <c r="AV25">
        <f>PnL(($D$7*(1+AV$2)),$E25,(RiskSlide!$A$7),($G25+AV$3),((RiskSlide!$A$10)/260),$C25,$B25,RiskSlide!$H54)</f>
        <v>-2359.0946900046765</v>
      </c>
      <c r="AW25">
        <f>PnL(($D$7*(1+AW$2)),$E25,(RiskSlide!$A$7),($G25+AW$3),((RiskSlide!$A$10)/260),$C25,$B25,RiskSlide!$H54)</f>
        <v>-362.37912393967588</v>
      </c>
      <c r="AX25">
        <f>PnL(($D$7*(1+AX$2)),$E25,(RiskSlide!$A$7),($G25+AX$3),((RiskSlide!$A$10)/260),$C25,$B25,RiskSlide!$H54)</f>
        <v>-174.31324588414299</v>
      </c>
      <c r="AY25">
        <f>PnL(($D$7*(1+AY$2)),$E25,(RiskSlide!$A$7),($G25+AY$3),((RiskSlide!$A$10)/260),$C25,$B25,RiskSlide!$H54)</f>
        <v>0</v>
      </c>
      <c r="AZ25">
        <f>PnL(($D$7*(1+AZ$2)),$E25,(RiskSlide!$A$7),($G25+AZ$3),((RiskSlide!$A$10)/260),$C25,$B25,RiskSlide!$H54)</f>
        <v>160.65698395271184</v>
      </c>
      <c r="BA25">
        <f>PnL(($D$7*(1+BA$2)),$E25,(RiskSlide!$A$7),($G25+BA$3),((RiskSlide!$A$10)/260),$C25,$B25,RiskSlide!$H54)</f>
        <v>307.80985720265619</v>
      </c>
      <c r="BB25">
        <f>PnL(($D$7*(1+BB$2)),$E25,(RiskSlide!$A$7),($G25+BB$3),((RiskSlide!$A$10)/260),$C25,$B25,RiskSlide!$H54)</f>
        <v>1039.1237178043627</v>
      </c>
      <c r="BC25">
        <f>PnL(($D$7*(1+BC$2)),$E25,(RiskSlide!$A$7),($G25+BC$3),((RiskSlide!$A$10)/260),$C25,$B25,RiskSlide!$H54)</f>
        <v>1217.4690533584587</v>
      </c>
      <c r="BD25">
        <f>PnL(($D$7*(1+BD$2)),$E25,(RiskSlide!$A$7),($G25+BD$3),((RiskSlide!$A$10)/260),$C25,$B25,RiskSlide!$H54)</f>
        <v>-4252.2794135078975</v>
      </c>
      <c r="BE25">
        <f>PnL(($D$7*(1+BE$2)),$E25,(RiskSlide!$A$7),($G25+BE$3),((RiskSlide!$A$10)/260),$C25,$B25,RiskSlide!$H54)</f>
        <v>-1273.2008624046009</v>
      </c>
      <c r="BF25">
        <f>PnL(($D$7*(1+BF$2)),$E25,(RiskSlide!$A$7),($G25+BF$3),((RiskSlide!$A$10)/260),$C25,$B25,RiskSlide!$H54)</f>
        <v>232.10345892503028</v>
      </c>
      <c r="BG25">
        <f>PnL(($D$7*(1+BG$2)),$E25,(RiskSlide!$A$7),($G25+BG$3),((RiskSlide!$A$10)/260),$C25,$B25,RiskSlide!$H54)</f>
        <v>364.93177788010269</v>
      </c>
      <c r="BH25">
        <f>PnL(($D$7*(1+BH$2)),$E25,(RiskSlide!$A$7),($G25+BH$3),((RiskSlide!$A$10)/260),$C25,$B25,RiskSlide!$H54)</f>
        <v>485.97976445388156</v>
      </c>
      <c r="BI25">
        <f>PnL(($D$7*(1+BI$2)),$E25,(RiskSlide!$A$7),($G25+BI$3),((RiskSlide!$A$10)/260),$C25,$B25,RiskSlide!$H54)</f>
        <v>595.53351125072356</v>
      </c>
      <c r="BJ25">
        <f>PnL(($D$7*(1+BJ$2)),$E25,(RiskSlide!$A$7),($G25+BJ$3),((RiskSlide!$A$10)/260),$C25,$B25,RiskSlide!$H54)</f>
        <v>693.93357531727918</v>
      </c>
      <c r="BK25">
        <f>PnL(($D$7*(1+BK$2)),$E25,(RiskSlide!$A$7),($G25+BK$3),((RiskSlide!$A$10)/260),$C25,$B25,RiskSlide!$H54)</f>
        <v>1138.8746542494541</v>
      </c>
      <c r="BL25">
        <f>PnL(($D$7*(1+BL$2)),$E25,(RiskSlide!$A$7),($G25+BL$3),((RiskSlide!$A$10)/260),$C25,$B25,RiskSlide!$H54)</f>
        <v>1219.2533558706664</v>
      </c>
      <c r="BM25">
        <f>PnL(($D$7*(1+BM$2)),$E25,(RiskSlide!$A$7),($G25+BM$3),((RiskSlide!$A$10)/260),$C25,$B25,RiskSlide!$H54)</f>
        <v>-2881.9310713164164</v>
      </c>
      <c r="BN25">
        <f>PnL(($D$7*(1+BN$2)),$E25,(RiskSlide!$A$7),($G25+BN$3),((RiskSlide!$A$10)/260),$C25,$B25,RiskSlide!$H54)</f>
        <v>-486.76858217315555</v>
      </c>
      <c r="BO25">
        <f>PnL(($D$7*(1+BO$2)),$E25,(RiskSlide!$A$7),($G25+BO$3),((RiskSlide!$A$10)/260),$C25,$B25,RiskSlide!$H54)</f>
        <v>618.7452718019174</v>
      </c>
      <c r="BP25">
        <f>PnL(($D$7*(1+BP$2)),$E25,(RiskSlide!$A$7),($G25+BP$3),((RiskSlide!$A$10)/260),$C25,$B25,RiskSlide!$H54)</f>
        <v>709.4946982162877</v>
      </c>
      <c r="BQ25">
        <f>PnL(($D$7*(1+BQ$2)),$E25,(RiskSlide!$A$7),($G25+BQ$3),((RiskSlide!$A$10)/260),$C25,$B25,RiskSlide!$H54)</f>
        <v>790.67696960798378</v>
      </c>
      <c r="BR25">
        <f>PnL(($D$7*(1+BR$2)),$E25,(RiskSlide!$A$7),($G25+BR$3),((RiskSlide!$A$10)/260),$C25,$B25,RiskSlide!$H54)</f>
        <v>862.70204229190495</v>
      </c>
      <c r="BS25">
        <f>PnL(($D$7*(1+BS$2)),$E25,(RiskSlide!$A$7),($G25+BS$3),((RiskSlide!$A$10)/260),$C25,$B25,RiskSlide!$H54)</f>
        <v>926.02286633994663</v>
      </c>
      <c r="BT25">
        <f>PnL(($D$7*(1+BT$2)),$E25,(RiskSlide!$A$7),($G25+BT$3),((RiskSlide!$A$10)/260),$C25,$B25,RiskSlide!$H54)</f>
        <v>1185.3781985065575</v>
      </c>
      <c r="BU25">
        <f>PnL(($D$7*(1+BU$2)),$E25,(RiskSlide!$A$7),($G25+BU$3),((RiskSlide!$A$10)/260),$C25,$B25,RiskSlide!$H54)</f>
        <v>1219.6315482013715</v>
      </c>
      <c r="BV25">
        <f>PnL(($D$7*(1+BV$2)),$E25,(RiskSlide!$A$7),($G25+BV$3),((RiskSlide!$A$10)/260),$C25,$B25,RiskSlide!$H54)</f>
        <v>951.6070816886288</v>
      </c>
      <c r="BW25">
        <f>PnL(($D$7*(1+BW$2)),$E25,(RiskSlide!$A$7),($G25+BW$3),((RiskSlide!$A$10)/260),$C25,$B25,RiskSlide!$H54)</f>
        <v>1175.9047039470104</v>
      </c>
      <c r="BX25">
        <f>PnL(($D$7*(1+BX$2)),$E25,(RiskSlide!$A$7),($G25+BX$3),((RiskSlide!$A$10)/260),$C25,$B25,RiskSlide!$H54)</f>
        <v>1215.2138876660761</v>
      </c>
      <c r="BY25">
        <f>PnL(($D$7*(1+BY$2)),$E25,(RiskSlide!$A$7),($G25+BY$3),((RiskSlide!$A$10)/260),$C25,$B25,RiskSlide!$H54)</f>
        <v>1216.5960517254284</v>
      </c>
      <c r="BZ25">
        <f>PnL(($D$7*(1+BZ$2)),$E25,(RiskSlide!$A$7),($G25+BZ$3),((RiskSlide!$A$10)/260),$C25,$B25,RiskSlide!$H54)</f>
        <v>1217.6053107089124</v>
      </c>
      <c r="CA25">
        <f>PnL(($D$7*(1+CA$2)),$E25,(RiskSlide!$A$7),($G25+CA$3),((RiskSlide!$A$10)/260),$C25,$B25,RiskSlide!$H54)</f>
        <v>1218.3252857705706</v>
      </c>
      <c r="CB25">
        <f>PnL(($D$7*(1+CB$2)),$E25,(RiskSlide!$A$7),($G25+CB$3),((RiskSlide!$A$10)/260),$C25,$B25,RiskSlide!$H54)</f>
        <v>1218.8258726095719</v>
      </c>
      <c r="CC25">
        <f>PnL(($D$7*(1+CC$2)),$E25,(RiskSlide!$A$7),($G25+CC$3),((RiskSlide!$A$10)/260),$C25,$B25,RiskSlide!$H54)</f>
        <v>1219.7103380101748</v>
      </c>
      <c r="CD25">
        <f>PnL(($D$7*(1+CD$2)),$E25,(RiskSlide!$A$7),($G25+CD$3),((RiskSlide!$A$10)/260),$C25,$B25,RiskSlide!$H54)</f>
        <v>1219.7159107958958</v>
      </c>
      <c r="CE25">
        <f>PnL(($D$7*(1+CE$2)),$E25,(RiskSlide!$A$7),($G25+CE$3),((RiskSlide!$A$10)/260),$C25,$B25,RiskSlide!$H54)</f>
        <v>1216.5591546675837</v>
      </c>
      <c r="CF25">
        <f>PnL(($D$7*(1+CF$2)),$E25,(RiskSlide!$A$7),($G25+CF$3),((RiskSlide!$A$10)/260),$C25,$B25,RiskSlide!$H54)</f>
        <v>1219.6188533918435</v>
      </c>
      <c r="CG25">
        <f>PnL(($D$7*(1+CG$2)),$E25,(RiskSlide!$A$7),($G25+CG$3),((RiskSlide!$A$10)/260),$C25,$B25,RiskSlide!$H54)</f>
        <v>1219.7148398012355</v>
      </c>
      <c r="CH25">
        <f>PnL(($D$7*(1+CH$2)),$E25,(RiskSlide!$A$7),($G25+CH$3),((RiskSlide!$A$10)/260),$C25,$B25,RiskSlide!$H54)</f>
        <v>1219.7153981280928</v>
      </c>
      <c r="CI25">
        <f>PnL(($D$7*(1+CI$2)),$E25,(RiskSlide!$A$7),($G25+CI$3),((RiskSlide!$A$10)/260),$C25,$B25,RiskSlide!$H54)</f>
        <v>1219.7156775902633</v>
      </c>
      <c r="CJ25">
        <f>PnL(($D$7*(1+CJ$2)),$E25,(RiskSlide!$A$7),($G25+CJ$3),((RiskSlide!$A$10)/260),$C25,$B25,RiskSlide!$H54)</f>
        <v>1219.7158104934381</v>
      </c>
      <c r="CK25">
        <f>PnL(($D$7*(1+CK$2)),$E25,(RiskSlide!$A$7),($G25+CK$3),((RiskSlide!$A$10)/260),$C25,$B25,RiskSlide!$H54)</f>
        <v>1219.7158702368545</v>
      </c>
      <c r="CL25">
        <f>PnL(($D$7*(1+CL$2)),$E25,(RiskSlide!$A$7),($G25+CL$3),((RiskSlide!$A$10)/260),$C25,$B25,RiskSlide!$H54)</f>
        <v>1219.71591079617</v>
      </c>
      <c r="CM25">
        <f>PnL(($D$7*(1+CM$2)),$E25,(RiskSlide!$A$7),($G25+CM$3),((RiskSlide!$A$10)/260),$C25,$B25,RiskSlide!$H54)</f>
        <v>1219.7159107973341</v>
      </c>
    </row>
    <row r="26" spans="1:91" x14ac:dyDescent="0.25">
      <c r="A26" t="s">
        <v>21</v>
      </c>
      <c r="B26">
        <v>4</v>
      </c>
      <c r="C26">
        <v>0</v>
      </c>
      <c r="E26">
        <v>1705</v>
      </c>
      <c r="F26">
        <v>3.5000000000000001E-3</v>
      </c>
      <c r="G26">
        <v>0.200271</v>
      </c>
      <c r="K26">
        <f>PnL(($D$7*(1+K$2)),$E26,(RiskSlide!$A$7),($G26+K$3),((RiskSlide!$A$10)/260),$C26,$B26,RiskSlide!$H55)</f>
        <v>20374.03262414207</v>
      </c>
      <c r="L26">
        <f>PnL(($D$7*(1+L$2)),$E26,(RiskSlide!$A$7),($G26+L$3),((RiskSlide!$A$10)/260),$C26,$B26,RiskSlide!$H55)</f>
        <v>20209.882267324043</v>
      </c>
      <c r="M26">
        <f>PnL(($D$7*(1+M$2)),$E26,(RiskSlide!$A$7),($G26+M$3),((RiskSlide!$A$10)/260),$C26,$B26,RiskSlide!$H55)</f>
        <v>20143.44123645153</v>
      </c>
      <c r="N26">
        <f>PnL(($D$7*(1+N$2)),$E26,(RiskSlide!$A$7),($G26+N$3),((RiskSlide!$A$10)/260),$C26,$B26,RiskSlide!$H55)</f>
        <v>20138.56816327518</v>
      </c>
      <c r="O26">
        <f>PnL(($D$7*(1+O$2)),$E26,(RiskSlide!$A$7),($G26+O$3),((RiskSlide!$A$10)/260),$C26,$B26,RiskSlide!$H55)</f>
        <v>20134.33492989841</v>
      </c>
      <c r="P26">
        <f>PnL(($D$7*(1+P$2)),$E26,(RiskSlide!$A$7),($G26+P$3),((RiskSlide!$A$10)/260),$C26,$B26,RiskSlide!$H55)</f>
        <v>20130.697025046924</v>
      </c>
      <c r="Q26">
        <f>PnL(($D$7*(1+Q$2)),$E26,(RiskSlide!$A$7),($G26+Q$3),((RiskSlide!$A$10)/260),$C26,$B26,RiskSlide!$H55)</f>
        <v>20127.607807733715</v>
      </c>
      <c r="R26">
        <f>PnL(($D$7*(1+R$2)),$E26,(RiskSlide!$A$7),($G26+R$3),((RiskSlide!$A$10)/260),$C26,$B26,RiskSlide!$H55)</f>
        <v>20116.788260516911</v>
      </c>
      <c r="S26">
        <f>PnL(($D$7*(1+S$2)),$E26,(RiskSlide!$A$7),($G26+S$3),((RiskSlide!$A$10)/260),$C26,$B26,RiskSlide!$H55)</f>
        <v>20115.955785217262</v>
      </c>
      <c r="T26">
        <f>PnL(($D$7*(1+T$2)),$E26,(RiskSlide!$A$7),($G26+T$3),((RiskSlide!$A$10)/260),$C26,$B26,RiskSlide!$H55)</f>
        <v>6223.9294022146169</v>
      </c>
      <c r="U26">
        <f>PnL(($D$7*(1+U$2)),$E26,(RiskSlide!$A$7),($G26+U$3),((RiskSlide!$A$10)/260),$C26,$B26,RiskSlide!$H55)</f>
        <v>5401.7872587704005</v>
      </c>
      <c r="V26">
        <f>PnL(($D$7*(1+V$2)),$E26,(RiskSlide!$A$7),($G26+V$3),((RiskSlide!$A$10)/260),$C26,$B26,RiskSlide!$H55)</f>
        <v>4750.2325697740162</v>
      </c>
      <c r="W26">
        <f>PnL(($D$7*(1+W$2)),$E26,(RiskSlide!$A$7),($G26+W$3),((RiskSlide!$A$10)/260),$C26,$B26,RiskSlide!$H55)</f>
        <v>4669.348330261414</v>
      </c>
      <c r="X26">
        <f>PnL(($D$7*(1+X$2)),$E26,(RiskSlide!$A$7),($G26+X$3),((RiskSlide!$A$10)/260),$C26,$B26,RiskSlide!$H55)</f>
        <v>4588.6189475288347</v>
      </c>
      <c r="Y26">
        <f>PnL(($D$7*(1+Y$2)),$E26,(RiskSlide!$A$7),($G26+Y$3),((RiskSlide!$A$10)/260),$C26,$B26,RiskSlide!$H55)</f>
        <v>4508.0560175768142</v>
      </c>
      <c r="Z26">
        <f>PnL(($D$7*(1+Z$2)),$E26,(RiskSlide!$A$7),($G26+Z$3),((RiskSlide!$A$10)/260),$C26,$B26,RiskSlide!$H55)</f>
        <v>4427.6723097541662</v>
      </c>
      <c r="AA26">
        <f>PnL(($D$7*(1+AA$2)),$E26,(RiskSlide!$A$7),($G26+AA$3),((RiskSlide!$A$10)/260),$C26,$B26,RiskSlide!$H55)</f>
        <v>3793.1196011254315</v>
      </c>
      <c r="AB26">
        <f>PnL(($D$7*(1+AB$2)),$E26,(RiskSlide!$A$7),($G26+AB$3),((RiskSlide!$A$10)/260),$C26,$B26,RiskSlide!$H55)</f>
        <v>3039.9566238684884</v>
      </c>
      <c r="AC26">
        <f>PnL(($D$7*(1+AC$2)),$E26,(RiskSlide!$A$7),($G26+AC$3),((RiskSlide!$A$10)/260),$C26,$B26,RiskSlide!$H55)</f>
        <v>1129.9440942071897</v>
      </c>
      <c r="AD26">
        <f>PnL(($D$7*(1+AD$2)),$E26,(RiskSlide!$A$7),($G26+AD$3),((RiskSlide!$A$10)/260),$C26,$B26,RiskSlide!$H55)</f>
        <v>610.2471444542914</v>
      </c>
      <c r="AE26">
        <f>PnL(($D$7*(1+AE$2)),$E26,(RiskSlide!$A$7),($G26+AE$3),((RiskSlide!$A$10)/260),$C26,$B26,RiskSlide!$H55)</f>
        <v>274.5687707911145</v>
      </c>
      <c r="AF26">
        <f>PnL(($D$7*(1+AF$2)),$E26,(RiskSlide!$A$7),($G26+AF$3),((RiskSlide!$A$10)/260),$C26,$B26,RiskSlide!$H55)</f>
        <v>238.80941224056755</v>
      </c>
      <c r="AG26">
        <f>PnL(($D$7*(1+AG$2)),$E26,(RiskSlide!$A$7),($G26+AG$3),((RiskSlide!$A$10)/260),$C26,$B26,RiskSlide!$H55)</f>
        <v>204.5788541396746</v>
      </c>
      <c r="AH26">
        <f>PnL(($D$7*(1+AH$2)),$E26,(RiskSlide!$A$7),($G26+AH$3),((RiskSlide!$A$10)/260),$C26,$B26,RiskSlide!$H55)</f>
        <v>171.92150082717035</v>
      </c>
      <c r="AI26">
        <f>PnL(($D$7*(1+AI$2)),$E26,(RiskSlide!$A$7),($G26+AI$3),((RiskSlide!$A$10)/260),$C26,$B26,RiskSlide!$H55)</f>
        <v>140.88036011426652</v>
      </c>
      <c r="AJ26">
        <f>PnL(($D$7*(1+AJ$2)),$E26,(RiskSlide!$A$7),($G26+AJ$3),((RiskSlide!$A$10)/260),$C26,$B26,RiskSlide!$H55)</f>
        <v>-45.190398455657999</v>
      </c>
      <c r="AK26">
        <f>PnL(($D$7*(1+AK$2)),$E26,(RiskSlide!$A$7),($G26+AK$3),((RiskSlide!$A$10)/260),$C26,$B26,RiskSlide!$H55)</f>
        <v>-126.89379477038099</v>
      </c>
      <c r="AL26">
        <f>PnL(($D$7*(1+AL$2)),$E26,(RiskSlide!$A$7),($G26+AL$3),((RiskSlide!$A$10)/260),$C26,$B26,RiskSlide!$H55)</f>
        <v>847.68555781496389</v>
      </c>
      <c r="AM26">
        <f>PnL(($D$7*(1+AM$2)),$E26,(RiskSlide!$A$7),($G26+AM$3),((RiskSlide!$A$10)/260),$C26,$B26,RiskSlide!$H55)</f>
        <v>403.05620211602786</v>
      </c>
      <c r="AN26">
        <f>PnL(($D$7*(1+AN$2)),$E26,(RiskSlide!$A$7),($G26+AN$3),((RiskSlide!$A$10)/260),$C26,$B26,RiskSlide!$H55)</f>
        <v>134.58622621378993</v>
      </c>
      <c r="AO26">
        <f>PnL(($D$7*(1+AO$2)),$E26,(RiskSlide!$A$7),($G26+AO$3),((RiskSlide!$A$10)/260),$C26,$B26,RiskSlide!$H55)</f>
        <v>107.4301251589759</v>
      </c>
      <c r="AP26">
        <f>PnL(($D$7*(1+AP$2)),$E26,(RiskSlide!$A$7),($G26+AP$3),((RiskSlide!$A$10)/260),$C26,$B26,RiskSlide!$H55)</f>
        <v>81.792867848562878</v>
      </c>
      <c r="AQ26">
        <f>PnL(($D$7*(1+AQ$2)),$E26,(RiskSlide!$A$7),($G26+AQ$3),((RiskSlide!$A$10)/260),$C26,$B26,RiskSlide!$H55)</f>
        <v>57.696231423020095</v>
      </c>
      <c r="AR26">
        <f>PnL(($D$7*(1+AR$2)),$E26,(RiskSlide!$A$7),($G26+AR$3),((RiskSlide!$A$10)/260),$C26,$B26,RiskSlide!$H55)</f>
        <v>35.157967571839777</v>
      </c>
      <c r="AS26">
        <f>PnL(($D$7*(1+AS$2)),$E26,(RiskSlide!$A$7),($G26+AS$3),((RiskSlide!$A$10)/260),$C26,$B26,RiskSlide!$H55)</f>
        <v>-88.916240620382325</v>
      </c>
      <c r="AT26">
        <f>PnL(($D$7*(1+AT$2)),$E26,(RiskSlide!$A$7),($G26+AT$3),((RiskSlide!$A$10)/260),$C26,$B26,RiskSlide!$H55)</f>
        <v>-129.907977806405</v>
      </c>
      <c r="AU26">
        <f>PnL(($D$7*(1+AU$2)),$E26,(RiskSlide!$A$7),($G26+AU$3),((RiskSlide!$A$10)/260),$C26,$B26,RiskSlide!$H55)</f>
        <v>619.59344234779223</v>
      </c>
      <c r="AV26">
        <f>PnL(($D$7*(1+AV$2)),$E26,(RiskSlide!$A$7),($G26+AV$3),((RiskSlide!$A$10)/260),$C26,$B26,RiskSlide!$H55)</f>
        <v>246.91877346856472</v>
      </c>
      <c r="AW26">
        <f>PnL(($D$7*(1+AW$2)),$E26,(RiskSlide!$A$7),($G26+AW$3),((RiskSlide!$A$10)/260),$C26,$B26,RiskSlide!$H55)</f>
        <v>38.361804537532862</v>
      </c>
      <c r="AX26">
        <f>PnL(($D$7*(1+AX$2)),$E26,(RiskSlide!$A$7),($G26+AX$3),((RiskSlide!$A$10)/260),$C26,$B26,RiskSlide!$H55)</f>
        <v>18.478835360235735</v>
      </c>
      <c r="AY26">
        <f>PnL(($D$7*(1+AY$2)),$E26,(RiskSlide!$A$7),($G26+AY$3),((RiskSlide!$A$10)/260),$C26,$B26,RiskSlide!$H55)</f>
        <v>0</v>
      </c>
      <c r="AZ26">
        <f>PnL(($D$7*(1+AZ$2)),$E26,(RiskSlide!$A$7),($G26+AZ$3),((RiskSlide!$A$10)/260),$C26,$B26,RiskSlide!$H55)</f>
        <v>-17.077570867685665</v>
      </c>
      <c r="BA26">
        <f>PnL(($D$7*(1+BA$2)),$E26,(RiskSlide!$A$7),($G26+BA$3),((RiskSlide!$A$10)/260),$C26,$B26,RiskSlide!$H55)</f>
        <v>-32.762385253914772</v>
      </c>
      <c r="BB26">
        <f>PnL(($D$7*(1+BB$2)),$E26,(RiskSlide!$A$7),($G26+BB$3),((RiskSlide!$A$10)/260),$C26,$B26,RiskSlide!$H55)</f>
        <v>-111.4581261968393</v>
      </c>
      <c r="BC26">
        <f>PnL(($D$7*(1+BC$2)),$E26,(RiskSlide!$A$7),($G26+BC$3),((RiskSlide!$A$10)/260),$C26,$B26,RiskSlide!$H55)</f>
        <v>-130.67558218786158</v>
      </c>
      <c r="BD26">
        <f>PnL(($D$7*(1+BD$2)),$E26,(RiskSlide!$A$7),($G26+BD$3),((RiskSlide!$A$10)/260),$C26,$B26,RiskSlide!$H55)</f>
        <v>437.77377132748256</v>
      </c>
      <c r="BE26">
        <f>PnL(($D$7*(1+BE$2)),$E26,(RiskSlide!$A$7),($G26+BE$3),((RiskSlide!$A$10)/260),$C26,$B26,RiskSlide!$H55)</f>
        <v>131.62343694366996</v>
      </c>
      <c r="BF26">
        <f>PnL(($D$7*(1+BF$2)),$E26,(RiskSlide!$A$7),($G26+BF$3),((RiskSlide!$A$10)/260),$C26,$B26,RiskSlide!$H55)</f>
        <v>-25.84789778604204</v>
      </c>
      <c r="BG26">
        <f>PnL(($D$7*(1+BG$2)),$E26,(RiskSlide!$A$7),($G26+BG$3),((RiskSlide!$A$10)/260),$C26,$B26,RiskSlide!$H55)</f>
        <v>-39.891363671428337</v>
      </c>
      <c r="BH26">
        <f>PnL(($D$7*(1+BH$2)),$E26,(RiskSlide!$A$7),($G26+BH$3),((RiskSlide!$A$10)/260),$C26,$B26,RiskSlide!$H55)</f>
        <v>-52.716991482604669</v>
      </c>
      <c r="BI26">
        <f>PnL(($D$7*(1+BI$2)),$E26,(RiskSlide!$A$7),($G26+BI$3),((RiskSlide!$A$10)/260),$C26,$B26,RiskSlide!$H55)</f>
        <v>-64.349114630572046</v>
      </c>
      <c r="BJ26">
        <f>PnL(($D$7*(1+BJ$2)),$E26,(RiskSlide!$A$7),($G26+BJ$3),((RiskSlide!$A$10)/260),$C26,$B26,RiskSlide!$H55)</f>
        <v>-74.81794109773432</v>
      </c>
      <c r="BK26">
        <f>PnL(($D$7*(1+BK$2)),$E26,(RiskSlide!$A$7),($G26+BK$3),((RiskSlide!$A$10)/260),$C26,$B26,RiskSlide!$H55)</f>
        <v>-122.38922871403003</v>
      </c>
      <c r="BL26">
        <f>PnL(($D$7*(1+BL$2)),$E26,(RiskSlide!$A$7),($G26+BL$3),((RiskSlide!$A$10)/260),$C26,$B26,RiskSlide!$H55)</f>
        <v>-130.84489163401693</v>
      </c>
      <c r="BM26">
        <f>PnL(($D$7*(1+BM$2)),$E26,(RiskSlide!$A$7),($G26+BM$3),((RiskSlide!$A$10)/260),$C26,$B26,RiskSlide!$H55)</f>
        <v>294.81090893579278</v>
      </c>
      <c r="BN26">
        <f>PnL(($D$7*(1+BN$2)),$E26,(RiskSlide!$A$7),($G26+BN$3),((RiskSlide!$A$10)/260),$C26,$B26,RiskSlide!$H55)</f>
        <v>48.204850291907064</v>
      </c>
      <c r="BO26">
        <f>PnL(($D$7*(1+BO$2)),$E26,(RiskSlide!$A$7),($G26+BO$3),((RiskSlide!$A$10)/260),$C26,$B26,RiskSlide!$H55)</f>
        <v>-67.438522620972208</v>
      </c>
      <c r="BP26">
        <f>PnL(($D$7*(1+BP$2)),$E26,(RiskSlide!$A$7),($G26+BP$3),((RiskSlide!$A$10)/260),$C26,$B26,RiskSlide!$H55)</f>
        <v>-77.012350123081319</v>
      </c>
      <c r="BQ26">
        <f>PnL(($D$7*(1+BQ$2)),$E26,(RiskSlide!$A$7),($G26+BQ$3),((RiskSlide!$A$10)/260),$C26,$B26,RiskSlide!$H55)</f>
        <v>-85.589340465982389</v>
      </c>
      <c r="BR26">
        <f>PnL(($D$7*(1+BR$2)),$E26,(RiskSlide!$A$7),($G26+BR$3),((RiskSlide!$A$10)/260),$C26,$B26,RiskSlide!$H55)</f>
        <v>-93.208720109065268</v>
      </c>
      <c r="BS26">
        <f>PnL(($D$7*(1+BS$2)),$E26,(RiskSlide!$A$7),($G26+BS$3),((RiskSlide!$A$10)/260),$C26,$B26,RiskSlide!$H55)</f>
        <v>-99.914590856502628</v>
      </c>
      <c r="BT26">
        <f>PnL(($D$7*(1+BT$2)),$E26,(RiskSlide!$A$7),($G26+BT$3),((RiskSlide!$A$10)/260),$C26,$B26,RiskSlide!$H55)</f>
        <v>-127.3754493702489</v>
      </c>
      <c r="BU26">
        <f>PnL(($D$7*(1+BU$2)),$E26,(RiskSlide!$A$7),($G26+BU$3),((RiskSlide!$A$10)/260),$C26,$B26,RiskSlide!$H55)</f>
        <v>-130.87725617915859</v>
      </c>
      <c r="BV26">
        <f>PnL(($D$7*(1+BV$2)),$E26,(RiskSlide!$A$7),($G26+BV$3),((RiskSlide!$A$10)/260),$C26,$B26,RiskSlide!$H55)</f>
        <v>-103.83799251547075</v>
      </c>
      <c r="BW26">
        <f>PnL(($D$7*(1+BW$2)),$E26,(RiskSlide!$A$7),($G26+BW$3),((RiskSlide!$A$10)/260),$C26,$B26,RiskSlide!$H55)</f>
        <v>-126.55385176102686</v>
      </c>
      <c r="BX26">
        <f>PnL(($D$7*(1+BX$2)),$E26,(RiskSlide!$A$7),($G26+BX$3),((RiskSlide!$A$10)/260),$C26,$B26,RiskSlide!$H55)</f>
        <v>-130.46092849924023</v>
      </c>
      <c r="BY26">
        <f>PnL(($D$7*(1+BY$2)),$E26,(RiskSlide!$A$7),($G26+BY$3),((RiskSlide!$A$10)/260),$C26,$B26,RiskSlide!$H55)</f>
        <v>-130.59385560377297</v>
      </c>
      <c r="BZ26">
        <f>PnL(($D$7*(1+BZ$2)),$E26,(RiskSlide!$A$7),($G26+BZ$3),((RiskSlide!$A$10)/260),$C26,$B26,RiskSlide!$H55)</f>
        <v>-130.68998623647394</v>
      </c>
      <c r="CA26">
        <f>PnL(($D$7*(1+CA$2)),$E26,(RiskSlide!$A$7),($G26+CA$3),((RiskSlide!$A$10)/260),$C26,$B26,RiskSlide!$H55)</f>
        <v>-130.75780171002415</v>
      </c>
      <c r="CB26">
        <f>PnL(($D$7*(1+CB$2)),$E26,(RiskSlide!$A$7),($G26+CB$3),((RiskSlide!$A$10)/260),$C26,$B26,RiskSlide!$H55)</f>
        <v>-130.80434824126579</v>
      </c>
      <c r="CC26">
        <f>PnL(($D$7*(1+CC$2)),$E26,(RiskSlide!$A$7),($G26+CC$3),((RiskSlide!$A$10)/260),$C26,$B26,RiskSlide!$H55)</f>
        <v>-130.88312070563751</v>
      </c>
      <c r="CD26">
        <f>PnL(($D$7*(1+CD$2)),$E26,(RiskSlide!$A$7),($G26+CD$3),((RiskSlide!$A$10)/260),$C26,$B26,RiskSlide!$H55)</f>
        <v>-130.88350395460125</v>
      </c>
      <c r="CE26">
        <f>PnL(($D$7*(1+CE$2)),$E26,(RiskSlide!$A$7),($G26+CE$3),((RiskSlide!$A$10)/260),$C26,$B26,RiskSlide!$H55)</f>
        <v>-130.59036577523398</v>
      </c>
      <c r="CF26">
        <f>PnL(($D$7*(1+CF$2)),$E26,(RiskSlide!$A$7),($G26+CF$3),((RiskSlide!$A$10)/260),$C26,$B26,RiskSlide!$H55)</f>
        <v>-130.87533062204039</v>
      </c>
      <c r="CG26">
        <f>PnL(($D$7*(1+CG$2)),$E26,(RiskSlide!$A$7),($G26+CG$3),((RiskSlide!$A$10)/260),$C26,$B26,RiskSlide!$H55)</f>
        <v>-130.88342905310768</v>
      </c>
      <c r="CH26">
        <f>PnL(($D$7*(1+CH$2)),$E26,(RiskSlide!$A$7),($G26+CH$3),((RiskSlide!$A$10)/260),$C26,$B26,RiskSlide!$H55)</f>
        <v>-130.88346938046507</v>
      </c>
      <c r="CI26">
        <f>PnL(($D$7*(1+CI$2)),$E26,(RiskSlide!$A$7),($G26+CI$3),((RiskSlide!$A$10)/260),$C26,$B26,RiskSlide!$H55)</f>
        <v>-130.88348885393239</v>
      </c>
      <c r="CJ26">
        <f>PnL(($D$7*(1+CJ$2)),$E26,(RiskSlide!$A$7),($G26+CJ$3),((RiskSlide!$A$10)/260),$C26,$B26,RiskSlide!$H55)</f>
        <v>-130.88349774909858</v>
      </c>
      <c r="CK26">
        <f>PnL(($D$7*(1+CK$2)),$E26,(RiskSlide!$A$7),($G26+CK$3),((RiskSlide!$A$10)/260),$C26,$B26,RiskSlide!$H55)</f>
        <v>-130.88350157051792</v>
      </c>
      <c r="CL26">
        <f>PnL(($D$7*(1+CL$2)),$E26,(RiskSlide!$A$7),($G26+CL$3),((RiskSlide!$A$10)/260),$C26,$B26,RiskSlide!$H55)</f>
        <v>-130.88350395459162</v>
      </c>
      <c r="CM26">
        <f>PnL(($D$7*(1+CM$2)),$E26,(RiskSlide!$A$7),($G26+CM$3),((RiskSlide!$A$10)/260),$C26,$B26,RiskSlide!$H55)</f>
        <v>-130.88350395462385</v>
      </c>
    </row>
    <row r="27" spans="1:91" x14ac:dyDescent="0.25">
      <c r="A27" t="s">
        <v>22</v>
      </c>
      <c r="B27">
        <v>19</v>
      </c>
      <c r="C27">
        <v>0</v>
      </c>
      <c r="E27">
        <v>1710</v>
      </c>
      <c r="F27">
        <v>3.5000000000000001E-3</v>
      </c>
      <c r="G27">
        <v>0.193971</v>
      </c>
      <c r="K27">
        <f>PnL(($D$7*(1+K$2)),$E27,(RiskSlide!$A$7),($G27+K$3),((RiskSlide!$A$10)/260),$C27,$B27,RiskSlide!$H56)</f>
        <v>101122.6827064963</v>
      </c>
      <c r="L27">
        <f>PnL(($D$7*(1+L$2)),$E27,(RiskSlide!$A$7),($G27+L$3),((RiskSlide!$A$10)/260),$C27,$B27,RiskSlide!$H56)</f>
        <v>100507.40357853923</v>
      </c>
      <c r="M27">
        <f>PnL(($D$7*(1+M$2)),$E27,(RiskSlide!$A$7),($G27+M$3),((RiskSlide!$A$10)/260),$C27,$B27,RiskSlide!$H56)</f>
        <v>100287.26837144524</v>
      </c>
      <c r="N27">
        <f>PnL(($D$7*(1+N$2)),$E27,(RiskSlide!$A$7),($G27+N$3),((RiskSlide!$A$10)/260),$C27,$B27,RiskSlide!$H56)</f>
        <v>100272.82137273939</v>
      </c>
      <c r="O27">
        <f>PnL(($D$7*(1+O$2)),$E27,(RiskSlide!$A$7),($G27+O$3),((RiskSlide!$A$10)/260),$C27,$B27,RiskSlide!$H56)</f>
        <v>100260.62891939042</v>
      </c>
      <c r="P27">
        <f>PnL(($D$7*(1+P$2)),$E27,(RiskSlide!$A$7),($G27+P$3),((RiskSlide!$A$10)/260),$C27,$B27,RiskSlide!$H56)</f>
        <v>100250.47661905352</v>
      </c>
      <c r="Q27">
        <f>PnL(($D$7*(1+Q$2)),$E27,(RiskSlide!$A$7),($G27+Q$3),((RiskSlide!$A$10)/260),$C27,$B27,RiskSlide!$H56)</f>
        <v>100242.14816005762</v>
      </c>
      <c r="R27">
        <f>PnL(($D$7*(1+R$2)),$E27,(RiskSlide!$A$7),($G27+R$3),((RiskSlide!$A$10)/260),$C27,$B27,RiskSlide!$H56)</f>
        <v>100216.95078793187</v>
      </c>
      <c r="S27">
        <f>PnL(($D$7*(1+S$2)),$E27,(RiskSlide!$A$7),($G27+S$3),((RiskSlide!$A$10)/260),$C27,$B27,RiskSlide!$H56)</f>
        <v>100215.81546568636</v>
      </c>
      <c r="T27">
        <f>PnL(($D$7*(1+T$2)),$E27,(RiskSlide!$A$7),($G27+T$3),((RiskSlide!$A$10)/260),$C27,$B27,RiskSlide!$H56)</f>
        <v>31836.958681636679</v>
      </c>
      <c r="U27">
        <f>PnL(($D$7*(1+U$2)),$E27,(RiskSlide!$A$7),($G27+U$3),((RiskSlide!$A$10)/260),$C27,$B27,RiskSlide!$H56)</f>
        <v>28018.394131932513</v>
      </c>
      <c r="V27">
        <f>PnL(($D$7*(1+V$2)),$E27,(RiskSlide!$A$7),($G27+V$3),((RiskSlide!$A$10)/260),$C27,$B27,RiskSlide!$H56)</f>
        <v>25024.756867417549</v>
      </c>
      <c r="W27">
        <f>PnL(($D$7*(1+W$2)),$E27,(RiskSlide!$A$7),($G27+W$3),((RiskSlide!$A$10)/260),$C27,$B27,RiskSlide!$H56)</f>
        <v>24656.122409415733</v>
      </c>
      <c r="X27">
        <f>PnL(($D$7*(1+X$2)),$E27,(RiskSlide!$A$7),($G27+X$3),((RiskSlide!$A$10)/260),$C27,$B27,RiskSlide!$H56)</f>
        <v>24289.028098657258</v>
      </c>
      <c r="Y27">
        <f>PnL(($D$7*(1+Y$2)),$E27,(RiskSlide!$A$7),($G27+Y$3),((RiskSlide!$A$10)/260),$C27,$B27,RiskSlide!$H56)</f>
        <v>23923.589108939737</v>
      </c>
      <c r="Z27">
        <f>PnL(($D$7*(1+Z$2)),$E27,(RiskSlide!$A$7),($G27+Z$3),((RiskSlide!$A$10)/260),$C27,$B27,RiskSlide!$H56)</f>
        <v>23559.932145101498</v>
      </c>
      <c r="AA27">
        <f>PnL(($D$7*(1+AA$2)),$E27,(RiskSlide!$A$7),($G27+AA$3),((RiskSlide!$A$10)/260),$C27,$B27,RiskSlide!$H56)</f>
        <v>20735.218695281623</v>
      </c>
      <c r="AB27">
        <f>PnL(($D$7*(1+AB$2)),$E27,(RiskSlide!$A$7),($G27+AB$3),((RiskSlide!$A$10)/260),$C27,$B27,RiskSlide!$H56)</f>
        <v>17596.096529274386</v>
      </c>
      <c r="AC27">
        <f>PnL(($D$7*(1+AC$2)),$E27,(RiskSlide!$A$7),($G27+AC$3),((RiskSlide!$A$10)/260),$C27,$B27,RiskSlide!$H56)</f>
        <v>5852.1176775525173</v>
      </c>
      <c r="AD27">
        <f>PnL(($D$7*(1+AD$2)),$E27,(RiskSlide!$A$7),($G27+AD$3),((RiskSlide!$A$10)/260),$C27,$B27,RiskSlide!$H56)</f>
        <v>3221.0307825078658</v>
      </c>
      <c r="AE27">
        <f>PnL(($D$7*(1+AE$2)),$E27,(RiskSlide!$A$7),($G27+AE$3),((RiskSlide!$A$10)/260),$C27,$B27,RiskSlide!$H56)</f>
        <v>1485.8953730187736</v>
      </c>
      <c r="AF27">
        <f>PnL(($D$7*(1+AF$2)),$E27,(RiskSlide!$A$7),($G27+AF$3),((RiskSlide!$A$10)/260),$C27,$B27,RiskSlide!$H56)</f>
        <v>1298.3828478170494</v>
      </c>
      <c r="AG27">
        <f>PnL(($D$7*(1+AG$2)),$E27,(RiskSlide!$A$7),($G27+AG$3),((RiskSlide!$A$10)/260),$C27,$B27,RiskSlide!$H56)</f>
        <v>1118.2392818395258</v>
      </c>
      <c r="AH27">
        <f>PnL(($D$7*(1+AH$2)),$E27,(RiskSlide!$A$7),($G27+AH$3),((RiskSlide!$A$10)/260),$C27,$B27,RiskSlide!$H56)</f>
        <v>945.7248295347398</v>
      </c>
      <c r="AI27">
        <f>PnL(($D$7*(1+AI$2)),$E27,(RiskSlide!$A$7),($G27+AI$3),((RiskSlide!$A$10)/260),$C27,$B27,RiskSlide!$H56)</f>
        <v>781.0980957530461</v>
      </c>
      <c r="AJ27">
        <f>PnL(($D$7*(1+AJ$2)),$E27,(RiskSlide!$A$7),($G27+AJ$3),((RiskSlide!$A$10)/260),$C27,$B27,RiskSlide!$H56)</f>
        <v>-224.409871397296</v>
      </c>
      <c r="AK27">
        <f>PnL(($D$7*(1+AK$2)),$E27,(RiskSlide!$A$7),($G27+AK$3),((RiskSlide!$A$10)/260),$C27,$B27,RiskSlide!$H56)</f>
        <v>-684.22845722179693</v>
      </c>
      <c r="AL27">
        <f>PnL(($D$7*(1+AL$2)),$E27,(RiskSlide!$A$7),($G27+AL$3),((RiskSlide!$A$10)/260),$C27,$B27,RiskSlide!$H56)</f>
        <v>4385.7865160634346</v>
      </c>
      <c r="AM27">
        <f>PnL(($D$7*(1+AM$2)),$E27,(RiskSlide!$A$7),($G27+AM$3),((RiskSlide!$A$10)/260),$C27,$B27,RiskSlide!$H56)</f>
        <v>2122.0221375914789</v>
      </c>
      <c r="AN27">
        <f>PnL(($D$7*(1+AN$2)),$E27,(RiskSlide!$A$7),($G27+AN$3),((RiskSlide!$A$10)/260),$C27,$B27,RiskSlide!$H56)</f>
        <v>725.91203549040279</v>
      </c>
      <c r="AO27">
        <f>PnL(($D$7*(1+AO$2)),$E27,(RiskSlide!$A$7),($G27+AO$3),((RiskSlide!$A$10)/260),$C27,$B27,RiskSlide!$H56)</f>
        <v>582.65909758405746</v>
      </c>
      <c r="AP27">
        <f>PnL(($D$7*(1+AP$2)),$E27,(RiskSlide!$A$7),($G27+AP$3),((RiskSlide!$A$10)/260),$C27,$B27,RiskSlide!$H56)</f>
        <v>446.94966875227351</v>
      </c>
      <c r="AQ27">
        <f>PnL(($D$7*(1+AQ$2)),$E27,(RiskSlide!$A$7),($G27+AQ$3),((RiskSlide!$A$10)/260),$C27,$B27,RiskSlide!$H56)</f>
        <v>318.93716006567627</v>
      </c>
      <c r="AR27">
        <f>PnL(($D$7*(1+AR$2)),$E27,(RiskSlide!$A$7),($G27+AR$3),((RiskSlide!$A$10)/260),$C27,$B27,RiskSlide!$H56)</f>
        <v>198.75825676387038</v>
      </c>
      <c r="AS27">
        <f>PnL(($D$7*(1+AS$2)),$E27,(RiskSlide!$A$7),($G27+AS$3),((RiskSlide!$A$10)/260),$C27,$B27,RiskSlide!$H56)</f>
        <v>-473.50618050937283</v>
      </c>
      <c r="AT27">
        <f>PnL(($D$7*(1+AT$2)),$E27,(RiskSlide!$A$7),($G27+AT$3),((RiskSlide!$A$10)/260),$C27,$B27,RiskSlide!$H56)</f>
        <v>-701.37732588194706</v>
      </c>
      <c r="AU27">
        <f>PnL(($D$7*(1+AU$2)),$E27,(RiskSlide!$A$7),($G27+AU$3),((RiskSlide!$A$10)/260),$C27,$B27,RiskSlide!$H56)</f>
        <v>3198.6045424553977</v>
      </c>
      <c r="AV27">
        <f>PnL(($D$7*(1+AV$2)),$E27,(RiskSlide!$A$7),($G27+AV$3),((RiskSlide!$A$10)/260),$C27,$B27,RiskSlide!$H56)</f>
        <v>1292.5139479901391</v>
      </c>
      <c r="AW27">
        <f>PnL(($D$7*(1+AW$2)),$E27,(RiskSlide!$A$7),($G27+AW$3),((RiskSlide!$A$10)/260),$C27,$B27,RiskSlide!$H56)</f>
        <v>203.38888832437831</v>
      </c>
      <c r="AX27">
        <f>PnL(($D$7*(1+AX$2)),$E27,(RiskSlide!$A$7),($G27+AX$3),((RiskSlide!$A$10)/260),$C27,$B27,RiskSlide!$H56)</f>
        <v>98.131234220564068</v>
      </c>
      <c r="AY27">
        <f>PnL(($D$7*(1+AY$2)),$E27,(RiskSlide!$A$7),($G27+AY$3),((RiskSlide!$A$10)/260),$C27,$B27,RiskSlide!$H56)</f>
        <v>0</v>
      </c>
      <c r="AZ27">
        <f>PnL(($D$7*(1+AZ$2)),$E27,(RiskSlide!$A$7),($G27+AZ$3),((RiskSlide!$A$10)/260),$C27,$B27,RiskSlide!$H56)</f>
        <v>-90.9799014359983</v>
      </c>
      <c r="BA27">
        <f>PnL(($D$7*(1+BA$2)),$E27,(RiskSlide!$A$7),($G27+BA$3),((RiskSlide!$A$10)/260),$C27,$B27,RiskSlide!$H56)</f>
        <v>-174.81116796502397</v>
      </c>
      <c r="BB27">
        <f>PnL(($D$7*(1+BB$2)),$E27,(RiskSlide!$A$7),($G27+BB$3),((RiskSlide!$A$10)/260),$C27,$B27,RiskSlide!$H56)</f>
        <v>-600.56320956572029</v>
      </c>
      <c r="BC27">
        <f>PnL(($D$7*(1+BC$2)),$E27,(RiskSlide!$A$7),($G27+BC$3),((RiskSlide!$A$10)/260),$C27,$B27,RiskSlide!$H56)</f>
        <v>-705.436232404615</v>
      </c>
      <c r="BD27">
        <f>PnL(($D$7*(1+BD$2)),$E27,(RiskSlide!$A$7),($G27+BD$3),((RiskSlide!$A$10)/260),$C27,$B27,RiskSlide!$H56)</f>
        <v>2250.9724940200572</v>
      </c>
      <c r="BE27">
        <f>PnL(($D$7*(1+BE$2)),$E27,(RiskSlide!$A$7),($G27+BE$3),((RiskSlide!$A$10)/260),$C27,$B27,RiskSlide!$H56)</f>
        <v>679.624650022889</v>
      </c>
      <c r="BF27">
        <f>PnL(($D$7*(1+BF$2)),$E27,(RiskSlide!$A$7),($G27+BF$3),((RiskSlide!$A$10)/260),$C27,$B27,RiskSlide!$H56)</f>
        <v>-144.74258616271669</v>
      </c>
      <c r="BG27">
        <f>PnL(($D$7*(1+BG$2)),$E27,(RiskSlide!$A$7),($G27+BG$3),((RiskSlide!$A$10)/260),$C27,$B27,RiskSlide!$H56)</f>
        <v>-219.17120607986149</v>
      </c>
      <c r="BH27">
        <f>PnL(($D$7*(1+BH$2)),$E27,(RiskSlide!$A$7),($G27+BH$3),((RiskSlide!$A$10)/260),$C27,$B27,RiskSlide!$H56)</f>
        <v>-287.32396141639248</v>
      </c>
      <c r="BI27">
        <f>PnL(($D$7*(1+BI$2)),$E27,(RiskSlide!$A$7),($G27+BI$3),((RiskSlide!$A$10)/260),$C27,$B27,RiskSlide!$H56)</f>
        <v>-349.29552450814435</v>
      </c>
      <c r="BJ27">
        <f>PnL(($D$7*(1+BJ$2)),$E27,(RiskSlide!$A$7),($G27+BJ$3),((RiskSlide!$A$10)/260),$C27,$B27,RiskSlide!$H56)</f>
        <v>-405.21172897967085</v>
      </c>
      <c r="BK27">
        <f>PnL(($D$7*(1+BK$2)),$E27,(RiskSlide!$A$7),($G27+BK$3),((RiskSlide!$A$10)/260),$C27,$B27,RiskSlide!$H56)</f>
        <v>-661.1954535989255</v>
      </c>
      <c r="BL27">
        <f>PnL(($D$7*(1+BL$2)),$E27,(RiskSlide!$A$7),($G27+BL$3),((RiskSlide!$A$10)/260),$C27,$B27,RiskSlide!$H56)</f>
        <v>-706.2517363551674</v>
      </c>
      <c r="BM27">
        <f>PnL(($D$7*(1+BM$2)),$E27,(RiskSlide!$A$7),($G27+BM$3),((RiskSlide!$A$10)/260),$C27,$B27,RiskSlide!$H56)</f>
        <v>1505.2523959904236</v>
      </c>
      <c r="BN27">
        <f>PnL(($D$7*(1+BN$2)),$E27,(RiskSlide!$A$7),($G27+BN$3),((RiskSlide!$A$10)/260),$C27,$B27,RiskSlide!$H56)</f>
        <v>236.37350611141912</v>
      </c>
      <c r="BO27">
        <f>PnL(($D$7*(1+BO$2)),$E27,(RiskSlide!$A$7),($G27+BO$3),((RiskSlide!$A$10)/260),$C27,$B27,RiskSlide!$H56)</f>
        <v>-369.47853299516885</v>
      </c>
      <c r="BP27">
        <f>PnL(($D$7*(1+BP$2)),$E27,(RiskSlide!$A$7),($G27+BP$3),((RiskSlide!$A$10)/260),$C27,$B27,RiskSlide!$H56)</f>
        <v>-420.15627564886631</v>
      </c>
      <c r="BQ27">
        <f>PnL(($D$7*(1+BQ$2)),$E27,(RiskSlide!$A$7),($G27+BQ$3),((RiskSlide!$A$10)/260),$C27,$B27,RiskSlide!$H56)</f>
        <v>-465.64532944405988</v>
      </c>
      <c r="BR27">
        <f>PnL(($D$7*(1+BR$2)),$E27,(RiskSlide!$A$7),($G27+BR$3),((RiskSlide!$A$10)/260),$C27,$B27,RiskSlide!$H56)</f>
        <v>-506.12867945839605</v>
      </c>
      <c r="BS27">
        <f>PnL(($D$7*(1+BS$2)),$E27,(RiskSlide!$A$7),($G27+BS$3),((RiskSlide!$A$10)/260),$C27,$B27,RiskSlide!$H56)</f>
        <v>-541.81667968810302</v>
      </c>
      <c r="BT27">
        <f>PnL(($D$7*(1+BT$2)),$E27,(RiskSlide!$A$7),($G27+BT$3),((RiskSlide!$A$10)/260),$C27,$B27,RiskSlide!$H56)</f>
        <v>-688.2635586975299</v>
      </c>
      <c r="BU27">
        <f>PnL(($D$7*(1+BU$2)),$E27,(RiskSlide!$A$7),($G27+BU$3),((RiskSlide!$A$10)/260),$C27,$B27,RiskSlide!$H56)</f>
        <v>-706.3909006460467</v>
      </c>
      <c r="BV27">
        <f>PnL(($D$7*(1+BV$2)),$E27,(RiskSlide!$A$7),($G27+BV$3),((RiskSlide!$A$10)/260),$C27,$B27,RiskSlide!$H56)</f>
        <v>-569.59557741766832</v>
      </c>
      <c r="BW27">
        <f>PnL(($D$7*(1+BW$2)),$E27,(RiskSlide!$A$7),($G27+BW$3),((RiskSlide!$A$10)/260),$C27,$B27,RiskSlide!$H56)</f>
        <v>-684.91362883962768</v>
      </c>
      <c r="BX27">
        <f>PnL(($D$7*(1+BX$2)),$E27,(RiskSlide!$A$7),($G27+BX$3),((RiskSlide!$A$10)/260),$C27,$B27,RiskSlide!$H56)</f>
        <v>-704.41872054724365</v>
      </c>
      <c r="BY27">
        <f>PnL(($D$7*(1+BY$2)),$E27,(RiskSlide!$A$7),($G27+BY$3),((RiskSlide!$A$10)/260),$C27,$B27,RiskSlide!$H56)</f>
        <v>-705.06130304603607</v>
      </c>
      <c r="BZ27">
        <f>PnL(($D$7*(1+BZ$2)),$E27,(RiskSlide!$A$7),($G27+BZ$3),((RiskSlide!$A$10)/260),$C27,$B27,RiskSlide!$H56)</f>
        <v>-705.52153574027034</v>
      </c>
      <c r="CA27">
        <f>PnL(($D$7*(1+CA$2)),$E27,(RiskSlide!$A$7),($G27+CA$3),((RiskSlide!$A$10)/260),$C27,$B27,RiskSlide!$H56)</f>
        <v>-705.84257275010953</v>
      </c>
      <c r="CB27">
        <f>PnL(($D$7*(1+CB$2)),$E27,(RiskSlide!$A$7),($G27+CB$3),((RiskSlide!$A$10)/260),$C27,$B27,RiskSlide!$H56)</f>
        <v>-706.06005401337848</v>
      </c>
      <c r="CC27">
        <f>PnL(($D$7*(1+CC$2)),$E27,(RiskSlide!$A$7),($G27+CC$3),((RiskSlide!$A$10)/260),$C27,$B27,RiskSlide!$H56)</f>
        <v>-706.41256578290825</v>
      </c>
      <c r="CD27">
        <f>PnL(($D$7*(1+CD$2)),$E27,(RiskSlide!$A$7),($G27+CD$3),((RiskSlide!$A$10)/260),$C27,$B27,RiskSlide!$H56)</f>
        <v>-706.41387100651366</v>
      </c>
      <c r="CE27">
        <f>PnL(($D$7*(1+CE$2)),$E27,(RiskSlide!$A$7),($G27+CE$3),((RiskSlide!$A$10)/260),$C27,$B27,RiskSlide!$H56)</f>
        <v>-705.04830895478119</v>
      </c>
      <c r="CF27">
        <f>PnL(($D$7*(1+CF$2)),$E27,(RiskSlide!$A$7),($G27+CF$3),((RiskSlide!$A$10)/260),$C27,$B27,RiskSlide!$H56)</f>
        <v>-706.37937689601165</v>
      </c>
      <c r="CG27">
        <f>PnL(($D$7*(1+CG$2)),$E27,(RiskSlide!$A$7),($G27+CG$3),((RiskSlide!$A$10)/260),$C27,$B27,RiskSlide!$H56)</f>
        <v>-706.41361037346348</v>
      </c>
      <c r="CH27">
        <f>PnL(($D$7*(1+CH$2)),$E27,(RiskSlide!$A$7),($G27+CH$3),((RiskSlide!$A$10)/260),$C27,$B27,RiskSlide!$H56)</f>
        <v>-706.41375522039982</v>
      </c>
      <c r="CI27">
        <f>PnL(($D$7*(1+CI$2)),$E27,(RiskSlide!$A$7),($G27+CI$3),((RiskSlide!$A$10)/260),$C27,$B27,RiskSlide!$H56)</f>
        <v>-706.41382256421548</v>
      </c>
      <c r="CJ27">
        <f>PnL(($D$7*(1+CJ$2)),$E27,(RiskSlide!$A$7),($G27+CJ$3),((RiskSlide!$A$10)/260),$C27,$B27,RiskSlide!$H56)</f>
        <v>-706.41385203999164</v>
      </c>
      <c r="CK27">
        <f>PnL(($D$7*(1+CK$2)),$E27,(RiskSlide!$A$7),($G27+CK$3),((RiskSlide!$A$10)/260),$C27,$B27,RiskSlide!$H56)</f>
        <v>-706.41386410692871</v>
      </c>
      <c r="CL27">
        <f>PnL(($D$7*(1+CL$2)),$E27,(RiskSlide!$A$7),($G27+CL$3),((RiskSlide!$A$10)/260),$C27,$B27,RiskSlide!$H56)</f>
        <v>-706.41387100648706</v>
      </c>
      <c r="CM27">
        <f>PnL(($D$7*(1+CM$2)),$E27,(RiskSlide!$A$7),($G27+CM$3),((RiskSlide!$A$10)/260),$C27,$B27,RiskSlide!$H56)</f>
        <v>-706.41387100652787</v>
      </c>
    </row>
    <row r="28" spans="1:91" x14ac:dyDescent="0.25">
      <c r="A28" t="s">
        <v>23</v>
      </c>
      <c r="B28">
        <v>-9</v>
      </c>
      <c r="C28">
        <v>0</v>
      </c>
      <c r="E28">
        <v>1720</v>
      </c>
      <c r="F28">
        <v>3.5000000000000001E-3</v>
      </c>
      <c r="G28">
        <v>0.182005</v>
      </c>
      <c r="K28">
        <f>PnL(($D$7*(1+K$2)),$E28,(RiskSlide!$A$7),($G28+K$3),((RiskSlide!$A$10)/260),$C28,$B28,RiskSlide!$H57)</f>
        <v>-52080.679710577606</v>
      </c>
      <c r="L28">
        <f>PnL(($D$7*(1+L$2)),$E28,(RiskSlide!$A$7),($G28+L$3),((RiskSlide!$A$10)/260),$C28,$B28,RiskSlide!$H57)</f>
        <v>-51912.194830578366</v>
      </c>
      <c r="M28">
        <f>PnL(($D$7*(1+M$2)),$E28,(RiskSlide!$A$7),($G28+M$3),((RiskSlide!$A$10)/260),$C28,$B28,RiskSlide!$H57)</f>
        <v>-51867.475925841187</v>
      </c>
      <c r="N28">
        <f>PnL(($D$7*(1+N$2)),$E28,(RiskSlide!$A$7),($G28+N$3),((RiskSlide!$A$10)/260),$C28,$B28,RiskSlide!$H57)</f>
        <v>-51865.272010052271</v>
      </c>
      <c r="O28">
        <f>PnL(($D$7*(1+O$2)),$E28,(RiskSlide!$A$7),($G28+O$3),((RiskSlide!$A$10)/260),$C28,$B28,RiskSlide!$H57)</f>
        <v>-51863.543714229578</v>
      </c>
      <c r="P28">
        <f>PnL(($D$7*(1+P$2)),$E28,(RiskSlide!$A$7),($G28+P$3),((RiskSlide!$A$10)/260),$C28,$B28,RiskSlide!$H57)</f>
        <v>-51862.215967141237</v>
      </c>
      <c r="Q28">
        <f>PnL(($D$7*(1+Q$2)),$E28,(RiskSlide!$A$7),($G28+Q$3),((RiskSlide!$A$10)/260),$C28,$B28,RiskSlide!$H57)</f>
        <v>-51861.219062506185</v>
      </c>
      <c r="R28">
        <f>PnL(($D$7*(1+R$2)),$E28,(RiskSlide!$A$7),($G28+R$3),((RiskSlide!$A$10)/260),$C28,$B28,RiskSlide!$H57)</f>
        <v>-51859.053627978457</v>
      </c>
      <c r="S28">
        <f>PnL(($D$7*(1+S$2)),$E28,(RiskSlide!$A$7),($G28+S$3),((RiskSlide!$A$10)/260),$C28,$B28,RiskSlide!$H57)</f>
        <v>-51859.028511955323</v>
      </c>
      <c r="T28">
        <f>PnL(($D$7*(1+T$2)),$E28,(RiskSlide!$A$7),($G28+T$3),((RiskSlide!$A$10)/260),$C28,$B28,RiskSlide!$H57)</f>
        <v>-17463.875817510128</v>
      </c>
      <c r="U28">
        <f>PnL(($D$7*(1+U$2)),$E28,(RiskSlide!$A$7),($G28+U$3),((RiskSlide!$A$10)/260),$C28,$B28,RiskSlide!$H57)</f>
        <v>-15788.565898488147</v>
      </c>
      <c r="V28">
        <f>PnL(($D$7*(1+V$2)),$E28,(RiskSlide!$A$7),($G28+V$3),((RiskSlide!$A$10)/260),$C28,$B28,RiskSlide!$H57)</f>
        <v>-14524.807917555365</v>
      </c>
      <c r="W28">
        <f>PnL(($D$7*(1+W$2)),$E28,(RiskSlide!$A$7),($G28+W$3),((RiskSlide!$A$10)/260),$C28,$B28,RiskSlide!$H57)</f>
        <v>-14373.728396845623</v>
      </c>
      <c r="X28">
        <f>PnL(($D$7*(1+X$2)),$E28,(RiskSlide!$A$7),($G28+X$3),((RiskSlide!$A$10)/260),$C28,$B28,RiskSlide!$H57)</f>
        <v>-14224.537178509019</v>
      </c>
      <c r="Y28">
        <f>PnL(($D$7*(1+Y$2)),$E28,(RiskSlide!$A$7),($G28+Y$3),((RiskSlide!$A$10)/260),$C28,$B28,RiskSlide!$H57)</f>
        <v>-14077.36764650385</v>
      </c>
      <c r="Z28">
        <f>PnL(($D$7*(1+Z$2)),$E28,(RiskSlide!$A$7),($G28+Z$3),((RiskSlide!$A$10)/260),$C28,$B28,RiskSlide!$H57)</f>
        <v>-13932.365068583802</v>
      </c>
      <c r="AA28">
        <f>PnL(($D$7*(1+AA$2)),$E28,(RiskSlide!$A$7),($G28+AA$3),((RiskSlide!$A$10)/260),$C28,$B28,RiskSlide!$H57)</f>
        <v>-12872.74843314952</v>
      </c>
      <c r="AB28">
        <f>PnL(($D$7*(1+AB$2)),$E28,(RiskSlide!$A$7),($G28+AB$3),((RiskSlide!$A$10)/260),$C28,$B28,RiskSlide!$H57)</f>
        <v>-11964.77384162226</v>
      </c>
      <c r="AC28">
        <f>PnL(($D$7*(1+AC$2)),$E28,(RiskSlide!$A$7),($G28+AC$3),((RiskSlide!$A$10)/260),$C28,$B28,RiskSlide!$H57)</f>
        <v>-3311.9168366940685</v>
      </c>
      <c r="AD28">
        <f>PnL(($D$7*(1+AD$2)),$E28,(RiskSlide!$A$7),($G28+AD$3),((RiskSlide!$A$10)/260),$C28,$B28,RiskSlide!$H57)</f>
        <v>-1901.4066002986524</v>
      </c>
      <c r="AE28">
        <f>PnL(($D$7*(1+AE$2)),$E28,(RiskSlide!$A$7),($G28+AE$3),((RiskSlide!$A$10)/260),$C28,$B28,RiskSlide!$H57)</f>
        <v>-928.98315449733809</v>
      </c>
      <c r="AF28">
        <f>PnL(($D$7*(1+AF$2)),$E28,(RiskSlide!$A$7),($G28+AF$3),((RiskSlide!$A$10)/260),$C28,$B28,RiskSlide!$H57)</f>
        <v>-820.52181251018078</v>
      </c>
      <c r="AG28">
        <f>PnL(($D$7*(1+AG$2)),$E28,(RiskSlide!$A$7),($G28+AG$3),((RiskSlide!$A$10)/260),$C28,$B28,RiskSlide!$H57)</f>
        <v>-715.46741764787635</v>
      </c>
      <c r="AH28">
        <f>PnL(($D$7*(1+AH$2)),$E28,(RiskSlide!$A$7),($G28+AH$3),((RiskSlide!$A$10)/260),$C28,$B28,RiskSlide!$H57)</f>
        <v>-613.98774333317624</v>
      </c>
      <c r="AI28">
        <f>PnL(($D$7*(1+AI$2)),$E28,(RiskSlide!$A$7),($G28+AI$3),((RiskSlide!$A$10)/260),$C28,$B28,RiskSlide!$H57)</f>
        <v>-516.25659064426236</v>
      </c>
      <c r="AJ28">
        <f>PnL(($D$7*(1+AJ$2)),$E28,(RiskSlide!$A$7),($G28+AJ$3),((RiskSlide!$A$10)/260),$C28,$B28,RiskSlide!$H57)</f>
        <v>108.75663678524319</v>
      </c>
      <c r="AK28">
        <f>PnL(($D$7*(1+AK$2)),$E28,(RiskSlide!$A$7),($G28+AK$3),((RiskSlide!$A$10)/260),$C28,$B28,RiskSlide!$H57)</f>
        <v>429.56556712284549</v>
      </c>
      <c r="AL28">
        <f>PnL(($D$7*(1+AL$2)),$E28,(RiskSlide!$A$7),($G28+AL$3),((RiskSlide!$A$10)/260),$C28,$B28,RiskSlide!$H57)</f>
        <v>-2477.8223081943693</v>
      </c>
      <c r="AM28">
        <f>PnL(($D$7*(1+AM$2)),$E28,(RiskSlide!$A$7),($G28+AM$3),((RiskSlide!$A$10)/260),$C28,$B28,RiskSlide!$H57)</f>
        <v>-1246.9296702371225</v>
      </c>
      <c r="AN28">
        <f>PnL(($D$7*(1+AN$2)),$E28,(RiskSlide!$A$7),($G28+AN$3),((RiskSlide!$A$10)/260),$C28,$B28,RiskSlide!$H57)</f>
        <v>-451.46044953538649</v>
      </c>
      <c r="AO28">
        <f>PnL(($D$7*(1+AO$2)),$E28,(RiskSlide!$A$7),($G28+AO$3),((RiskSlide!$A$10)/260),$C28,$B28,RiskSlide!$H57)</f>
        <v>-367.11567745376925</v>
      </c>
      <c r="AP28">
        <f>PnL(($D$7*(1+AP$2)),$E28,(RiskSlide!$A$7),($G28+AP$3),((RiskSlide!$A$10)/260),$C28,$B28,RiskSlide!$H57)</f>
        <v>-286.55210499608899</v>
      </c>
      <c r="AQ28">
        <f>PnL(($D$7*(1+AQ$2)),$E28,(RiskSlide!$A$7),($G28+AQ$3),((RiskSlide!$A$10)/260),$C28,$B28,RiskSlide!$H57)</f>
        <v>-209.89863712513284</v>
      </c>
      <c r="AR28">
        <f>PnL(($D$7*(1+AR$2)),$E28,(RiskSlide!$A$7),($G28+AR$3),((RiskSlide!$A$10)/260),$C28,$B28,RiskSlide!$H57)</f>
        <v>-137.28111859946353</v>
      </c>
      <c r="AS28">
        <f>PnL(($D$7*(1+AS$2)),$E28,(RiskSlide!$A$7),($G28+AS$3),((RiskSlide!$A$10)/260),$C28,$B28,RiskSlide!$H57)</f>
        <v>286.32966643150047</v>
      </c>
      <c r="AT28">
        <f>PnL(($D$7*(1+AT$2)),$E28,(RiskSlide!$A$7),($G28+AT$3),((RiskSlide!$A$10)/260),$C28,$B28,RiskSlide!$H57)</f>
        <v>442.78975738717628</v>
      </c>
      <c r="AU28">
        <f>PnL(($D$7*(1+AU$2)),$E28,(RiskSlide!$A$7),($G28+AU$3),((RiskSlide!$A$10)/260),$C28,$B28,RiskSlide!$H57)</f>
        <v>-1798.8988383296216</v>
      </c>
      <c r="AV28">
        <f>PnL(($D$7*(1+AV$2)),$E28,(RiskSlide!$A$7),($G28+AV$3),((RiskSlide!$A$10)/260),$C28,$B28,RiskSlide!$H57)</f>
        <v>-750.1253807544274</v>
      </c>
      <c r="AW28">
        <f>PnL(($D$7*(1+AW$2)),$E28,(RiskSlide!$A$7),($G28+AW$3),((RiskSlide!$A$10)/260),$C28,$B28,RiskSlide!$H57)</f>
        <v>-121.70833717762619</v>
      </c>
      <c r="AX28">
        <f>PnL(($D$7*(1+AX$2)),$E28,(RiskSlide!$A$7),($G28+AX$3),((RiskSlide!$A$10)/260),$C28,$B28,RiskSlide!$H57)</f>
        <v>-58.960762817235945</v>
      </c>
      <c r="AY28">
        <f>PnL(($D$7*(1+AY$2)),$E28,(RiskSlide!$A$7),($G28+AY$3),((RiskSlide!$A$10)/260),$C28,$B28,RiskSlide!$H57)</f>
        <v>0</v>
      </c>
      <c r="AZ28">
        <f>PnL(($D$7*(1+AZ$2)),$E28,(RiskSlide!$A$7),($G28+AZ$3),((RiskSlide!$A$10)/260),$C28,$B28,RiskSlide!$H57)</f>
        <v>55.111157403485578</v>
      </c>
      <c r="BA28">
        <f>PnL(($D$7*(1+BA$2)),$E28,(RiskSlide!$A$7),($G28+BA$3),((RiskSlide!$A$10)/260),$C28,$B28,RiskSlide!$H57)</f>
        <v>106.32181220828372</v>
      </c>
      <c r="BB28">
        <f>PnL(($D$7*(1+BB$2)),$E28,(RiskSlide!$A$7),($G28+BB$3),((RiskSlide!$A$10)/260),$C28,$B28,RiskSlide!$H57)</f>
        <v>375.66925502224996</v>
      </c>
      <c r="BC28">
        <f>PnL(($D$7*(1+BC$2)),$E28,(RiskSlide!$A$7),($G28+BC$3),((RiskSlide!$A$10)/260),$C28,$B28,RiskSlide!$H57)</f>
        <v>445.48652553695047</v>
      </c>
      <c r="BD28">
        <f>PnL(($D$7*(1+BD$2)),$E28,(RiskSlide!$A$7),($G28+BD$3),((RiskSlide!$A$10)/260),$C28,$B28,RiskSlide!$H57)</f>
        <v>-1254.6405907174417</v>
      </c>
      <c r="BE28">
        <f>PnL(($D$7*(1+BE$2)),$E28,(RiskSlide!$A$7),($G28+BE$3),((RiskSlide!$A$10)/260),$C28,$B28,RiskSlide!$H57)</f>
        <v>-381.70333198483064</v>
      </c>
      <c r="BF28">
        <f>PnL(($D$7*(1+BF$2)),$E28,(RiskSlide!$A$7),($G28+BF$3),((RiskSlide!$A$10)/260),$C28,$B28,RiskSlide!$H57)</f>
        <v>98.128291008168134</v>
      </c>
      <c r="BG28">
        <f>PnL(($D$7*(1+BG$2)),$E28,(RiskSlide!$A$7),($G28+BG$3),((RiskSlide!$A$10)/260),$C28,$B28,RiskSlide!$H57)</f>
        <v>142.81576355071621</v>
      </c>
      <c r="BH28">
        <f>PnL(($D$7*(1+BH$2)),$E28,(RiskSlide!$A$7),($G28+BH$3),((RiskSlide!$A$10)/260),$C28,$B28,RiskSlide!$H57)</f>
        <v>184.0253730810602</v>
      </c>
      <c r="BI28">
        <f>PnL(($D$7*(1+BI$2)),$E28,(RiskSlide!$A$7),($G28+BI$3),((RiskSlide!$A$10)/260),$C28,$B28,RiskSlide!$H57)</f>
        <v>221.76794700958595</v>
      </c>
      <c r="BJ28">
        <f>PnL(($D$7*(1+BJ$2)),$E28,(RiskSlide!$A$7),($G28+BJ$3),((RiskSlide!$A$10)/260),$C28,$B28,RiskSlide!$H57)</f>
        <v>256.07148335785547</v>
      </c>
      <c r="BK28">
        <f>PnL(($D$7*(1+BK$2)),$E28,(RiskSlide!$A$7),($G28+BK$3),((RiskSlide!$A$10)/260),$C28,$B28,RiskSlide!$H57)</f>
        <v>417.2090929188924</v>
      </c>
      <c r="BL28">
        <f>PnL(($D$7*(1+BL$2)),$E28,(RiskSlide!$A$7),($G28+BL$3),((RiskSlide!$A$10)/260),$C28,$B28,RiskSlide!$H57)</f>
        <v>445.92998839240272</v>
      </c>
      <c r="BM28">
        <f>PnL(($D$7*(1+BM$2)),$E28,(RiskSlide!$A$7),($G28+BM$3),((RiskSlide!$A$10)/260),$C28,$B28,RiskSlide!$H57)</f>
        <v>-824.98129882206683</v>
      </c>
      <c r="BN28">
        <f>PnL(($D$7*(1+BN$2)),$E28,(RiskSlide!$A$7),($G28+BN$3),((RiskSlide!$A$10)/260),$C28,$B28,RiskSlide!$H57)</f>
        <v>-114.83034172159989</v>
      </c>
      <c r="BO28">
        <f>PnL(($D$7*(1+BO$2)),$E28,(RiskSlide!$A$7),($G28+BO$3),((RiskSlide!$A$10)/260),$C28,$B28,RiskSlide!$H57)</f>
        <v>239.58692385082188</v>
      </c>
      <c r="BP28">
        <f>PnL(($D$7*(1+BP$2)),$E28,(RiskSlide!$A$7),($G28+BP$3),((RiskSlide!$A$10)/260),$C28,$B28,RiskSlide!$H57)</f>
        <v>270.07390397437769</v>
      </c>
      <c r="BQ28">
        <f>PnL(($D$7*(1+BQ$2)),$E28,(RiskSlide!$A$7),($G28+BQ$3),((RiskSlide!$A$10)/260),$C28,$B28,RiskSlide!$H57)</f>
        <v>297.60040787123359</v>
      </c>
      <c r="BR28">
        <f>PnL(($D$7*(1+BR$2)),$E28,(RiskSlide!$A$7),($G28+BR$3),((RiskSlide!$A$10)/260),$C28,$B28,RiskSlide!$H57)</f>
        <v>322.23990268173532</v>
      </c>
      <c r="BS28">
        <f>PnL(($D$7*(1+BS$2)),$E28,(RiskSlide!$A$7),($G28+BS$3),((RiskSlide!$A$10)/260),$C28,$B28,RiskSlide!$H57)</f>
        <v>344.08332813423692</v>
      </c>
      <c r="BT28">
        <f>PnL(($D$7*(1+BT$2)),$E28,(RiskSlide!$A$7),($G28+BT$3),((RiskSlide!$A$10)/260),$C28,$B28,RiskSlide!$H57)</f>
        <v>435.05326577362069</v>
      </c>
      <c r="BU28">
        <f>PnL(($D$7*(1+BU$2)),$E28,(RiskSlide!$A$7),($G28+BU$3),((RiskSlide!$A$10)/260),$C28,$B28,RiskSlide!$H57)</f>
        <v>445.98880443822253</v>
      </c>
      <c r="BV28">
        <f>PnL(($D$7*(1+BV$2)),$E28,(RiskSlide!$A$7),($G28+BV$3),((RiskSlide!$A$10)/260),$C28,$B28,RiskSlide!$H57)</f>
        <v>370.69561594496111</v>
      </c>
      <c r="BW28">
        <f>PnL(($D$7*(1+BW$2)),$E28,(RiskSlide!$A$7),($G28+BW$3),((RiskSlide!$A$10)/260),$C28,$B28,RiskSlide!$H57)</f>
        <v>434.46325744267989</v>
      </c>
      <c r="BX28">
        <f>PnL(($D$7*(1+BX$2)),$E28,(RiskSlide!$A$7),($G28+BX$3),((RiskSlide!$A$10)/260),$C28,$B28,RiskSlide!$H57)</f>
        <v>445.01657156009827</v>
      </c>
      <c r="BY28">
        <f>PnL(($D$7*(1+BY$2)),$E28,(RiskSlide!$A$7),($G28+BY$3),((RiskSlide!$A$10)/260),$C28,$B28,RiskSlide!$H57)</f>
        <v>445.34543783719016</v>
      </c>
      <c r="BZ28">
        <f>PnL(($D$7*(1+BZ$2)),$E28,(RiskSlide!$A$7),($G28+BZ$3),((RiskSlide!$A$10)/260),$C28,$B28,RiskSlide!$H57)</f>
        <v>445.57682458698491</v>
      </c>
      <c r="CA28">
        <f>PnL(($D$7*(1+CA$2)),$E28,(RiskSlide!$A$7),($G28+CA$3),((RiskSlide!$A$10)/260),$C28,$B28,RiskSlide!$H57)</f>
        <v>445.73486320471955</v>
      </c>
      <c r="CB28">
        <f>PnL(($D$7*(1+CB$2)),$E28,(RiskSlide!$A$7),($G28+CB$3),((RiskSlide!$A$10)/260),$C28,$B28,RiskSlide!$H57)</f>
        <v>445.83928806109191</v>
      </c>
      <c r="CC28">
        <f>PnL(($D$7*(1+CC$2)),$E28,(RiskSlide!$A$7),($G28+CC$3),((RiskSlide!$A$10)/260),$C28,$B28,RiskSlide!$H57)</f>
        <v>445.99535866152564</v>
      </c>
      <c r="CD28">
        <f>PnL(($D$7*(1+CD$2)),$E28,(RiskSlide!$A$7),($G28+CD$3),((RiskSlide!$A$10)/260),$C28,$B28,RiskSlide!$H57)</f>
        <v>445.99568702171121</v>
      </c>
      <c r="CE28">
        <f>PnL(($D$7*(1+CE$2)),$E28,(RiskSlide!$A$7),($G28+CE$3),((RiskSlide!$A$10)/260),$C28,$B28,RiskSlide!$H57)</f>
        <v>445.35259256117956</v>
      </c>
      <c r="CF28">
        <f>PnL(($D$7*(1+CF$2)),$E28,(RiskSlide!$A$7),($G28+CF$3),((RiskSlide!$A$10)/260),$C28,$B28,RiskSlide!$H57)</f>
        <v>445.98224639997466</v>
      </c>
      <c r="CG28">
        <f>PnL(($D$7*(1+CG$2)),$E28,(RiskSlide!$A$7),($G28+CG$3),((RiskSlide!$A$10)/260),$C28,$B28,RiskSlide!$H57)</f>
        <v>445.9956183248342</v>
      </c>
      <c r="CH28">
        <f>PnL(($D$7*(1+CH$2)),$E28,(RiskSlide!$A$7),($G28+CH$3),((RiskSlide!$A$10)/260),$C28,$B28,RiskSlide!$H57)</f>
        <v>445.99565883793588</v>
      </c>
      <c r="CI28">
        <f>PnL(($D$7*(1+CI$2)),$E28,(RiskSlide!$A$7),($G28+CI$3),((RiskSlide!$A$10)/260),$C28,$B28,RiskSlide!$H57)</f>
        <v>445.99567624492477</v>
      </c>
      <c r="CJ28">
        <f>PnL(($D$7*(1+CJ$2)),$E28,(RiskSlide!$A$7),($G28+CJ$3),((RiskSlide!$A$10)/260),$C28,$B28,RiskSlide!$H57)</f>
        <v>445.99568321138366</v>
      </c>
      <c r="CK28">
        <f>PnL(($D$7*(1+CK$2)),$E28,(RiskSlide!$A$7),($G28+CK$3),((RiskSlide!$A$10)/260),$C28,$B28,RiskSlide!$H57)</f>
        <v>445.99568578727497</v>
      </c>
      <c r="CL28">
        <f>PnL(($D$7*(1+CL$2)),$E28,(RiskSlide!$A$7),($G28+CL$3),((RiskSlide!$A$10)/260),$C28,$B28,RiskSlide!$H57)</f>
        <v>445.99568702171007</v>
      </c>
      <c r="CM28">
        <f>PnL(($D$7*(1+CM$2)),$E28,(RiskSlide!$A$7),($G28+CM$3),((RiskSlide!$A$10)/260),$C28,$B28,RiskSlide!$H57)</f>
        <v>445.99568702171126</v>
      </c>
    </row>
    <row r="29" spans="1:91" x14ac:dyDescent="0.25">
      <c r="A29" t="s">
        <v>24</v>
      </c>
      <c r="B29">
        <v>5</v>
      </c>
      <c r="C29">
        <v>1</v>
      </c>
      <c r="E29">
        <v>1725</v>
      </c>
      <c r="F29">
        <v>3.5000000000000001E-3</v>
      </c>
      <c r="G29">
        <v>0.176455</v>
      </c>
      <c r="K29">
        <f>PnL(($D$7*(1+K$2)),$E29,(RiskSlide!$A$7),($G29+K$3),((RiskSlide!$A$10)/260),$C29,$B29,RiskSlide!$H58)</f>
        <v>-14443.631640737987</v>
      </c>
      <c r="L29">
        <f>PnL(($D$7*(1+L$2)),$E29,(RiskSlide!$A$7),($G29+L$3),((RiskSlide!$A$10)/260),$C29,$B29,RiskSlide!$H58)</f>
        <v>-14512.206874509411</v>
      </c>
      <c r="M29">
        <f>PnL(($D$7*(1+M$2)),$E29,(RiskSlide!$A$7),($G29+M$3),((RiskSlide!$A$10)/260),$C29,$B29,RiskSlide!$H58)</f>
        <v>-14527.469203437473</v>
      </c>
      <c r="N29">
        <f>PnL(($D$7*(1+N$2)),$E29,(RiskSlide!$A$7),($G29+N$3),((RiskSlide!$A$10)/260),$C29,$B29,RiskSlide!$H58)</f>
        <v>-14528.097343443489</v>
      </c>
      <c r="O29">
        <f>PnL(($D$7*(1+O$2)),$E29,(RiskSlide!$A$7),($G29+O$3),((RiskSlide!$A$10)/260),$C29,$B29,RiskSlide!$H58)</f>
        <v>-14528.56804465289</v>
      </c>
      <c r="P29">
        <f>PnL(($D$7*(1+P$2)),$E29,(RiskSlide!$A$7),($G29+P$3),((RiskSlide!$A$10)/260),$C29,$B29,RiskSlide!$H58)</f>
        <v>-14528.9120007209</v>
      </c>
      <c r="Q29">
        <f>PnL(($D$7*(1+Q$2)),$E29,(RiskSlide!$A$7),($G29+Q$3),((RiskSlide!$A$10)/260),$C29,$B29,RiskSlide!$H58)</f>
        <v>-14529.156356848092</v>
      </c>
      <c r="R29">
        <f>PnL(($D$7*(1+R$2)),$E29,(RiskSlide!$A$7),($G29+R$3),((RiskSlide!$A$10)/260),$C29,$B29,RiskSlide!$H58)</f>
        <v>-14529.599970240415</v>
      </c>
      <c r="S29">
        <f>PnL(($D$7*(1+S$2)),$E29,(RiskSlide!$A$7),($G29+S$3),((RiskSlide!$A$10)/260),$C29,$B29,RiskSlide!$H58)</f>
        <v>-14529.602161015131</v>
      </c>
      <c r="T29">
        <f>PnL(($D$7*(1+T$2)),$E29,(RiskSlide!$A$7),($G29+T$3),((RiskSlide!$A$10)/260),$C29,$B29,RiskSlide!$H58)</f>
        <v>-11845.677933591915</v>
      </c>
      <c r="U29">
        <f>PnL(($D$7*(1+U$2)),$E29,(RiskSlide!$A$7),($G29+U$3),((RiskSlide!$A$10)/260),$C29,$B29,RiskSlide!$H58)</f>
        <v>-12725.368487532094</v>
      </c>
      <c r="V29">
        <f>PnL(($D$7*(1+V$2)),$E29,(RiskSlide!$A$7),($G29+V$3),((RiskSlide!$A$10)/260),$C29,$B29,RiskSlide!$H58)</f>
        <v>-13369.602758794954</v>
      </c>
      <c r="W29">
        <f>PnL(($D$7*(1+W$2)),$E29,(RiskSlide!$A$7),($G29+W$3),((RiskSlide!$A$10)/260),$C29,$B29,RiskSlide!$H58)</f>
        <v>-13444.840747845419</v>
      </c>
      <c r="X29">
        <f>PnL(($D$7*(1+X$2)),$E29,(RiskSlide!$A$7),($G29+X$3),((RiskSlide!$A$10)/260),$C29,$B29,RiskSlide!$H58)</f>
        <v>-13518.644065264041</v>
      </c>
      <c r="Y29">
        <f>PnL(($D$7*(1+Y$2)),$E29,(RiskSlide!$A$7),($G29+Y$3),((RiskSlide!$A$10)/260),$C29,$B29,RiskSlide!$H58)</f>
        <v>-13590.918225767296</v>
      </c>
      <c r="Z29">
        <f>PnL(($D$7*(1+Z$2)),$E29,(RiskSlide!$A$7),($G29+Z$3),((RiskSlide!$A$10)/260),$C29,$B29,RiskSlide!$H58)</f>
        <v>-13661.561502920733</v>
      </c>
      <c r="AA29">
        <f>PnL(($D$7*(1+AA$2)),$E29,(RiskSlide!$A$7),($G29+AA$3),((RiskSlide!$A$10)/260),$C29,$B29,RiskSlide!$H58)</f>
        <v>-14153.059665148505</v>
      </c>
      <c r="AB29">
        <f>PnL(($D$7*(1+AB$2)),$E29,(RiskSlide!$A$7),($G29+AB$3),((RiskSlide!$A$10)/260),$C29,$B29,RiskSlide!$H58)</f>
        <v>-14493.645644449183</v>
      </c>
      <c r="AC29">
        <f>PnL(($D$7*(1+AC$2)),$E29,(RiskSlide!$A$7),($G29+AC$3),((RiskSlide!$A$10)/260),$C29,$B29,RiskSlide!$H58)</f>
        <v>-2439.1870556688104</v>
      </c>
      <c r="AD29">
        <f>PnL(($D$7*(1+AD$2)),$E29,(RiskSlide!$A$7),($G29+AD$3),((RiskSlide!$A$10)/260),$C29,$B29,RiskSlide!$H58)</f>
        <v>-3270.3262623003297</v>
      </c>
      <c r="AE29">
        <f>PnL(($D$7*(1+AE$2)),$E29,(RiskSlide!$A$7),($G29+AE$3),((RiskSlide!$A$10)/260),$C29,$B29,RiskSlide!$H58)</f>
        <v>-3856.7659328016362</v>
      </c>
      <c r="AF29">
        <f>PnL(($D$7*(1+AF$2)),$E29,(RiskSlide!$A$7),($G29+AF$3),((RiskSlide!$A$10)/260),$C29,$B29,RiskSlide!$H58)</f>
        <v>-3923.2963057929737</v>
      </c>
      <c r="AG29">
        <f>PnL(($D$7*(1+AG$2)),$E29,(RiskSlide!$A$7),($G29+AG$3),((RiskSlide!$A$10)/260),$C29,$B29,RiskSlide!$H58)</f>
        <v>-3988.0291453623613</v>
      </c>
      <c r="AH29">
        <f>PnL(($D$7*(1+AH$2)),$E29,(RiskSlide!$A$7),($G29+AH$3),((RiskSlide!$A$10)/260),$C29,$B29,RiskSlide!$H58)</f>
        <v>-4050.8622898810813</v>
      </c>
      <c r="AI29">
        <f>PnL(($D$7*(1+AI$2)),$E29,(RiskSlide!$A$7),($G29+AI$3),((RiskSlide!$A$10)/260),$C29,$B29,RiskSlide!$H58)</f>
        <v>-4111.6880313983875</v>
      </c>
      <c r="AJ29">
        <f>PnL(($D$7*(1+AJ$2)),$E29,(RiskSlide!$A$7),($G29+AJ$3),((RiskSlide!$A$10)/260),$C29,$B29,RiskSlide!$H58)</f>
        <v>-4511.5077131209773</v>
      </c>
      <c r="AK29">
        <f>PnL(($D$7*(1+AK$2)),$E29,(RiskSlide!$A$7),($G29+AK$3),((RiskSlide!$A$10)/260),$C29,$B29,RiskSlide!$H58)</f>
        <v>-4733.5630280073819</v>
      </c>
      <c r="AL29">
        <f>PnL(($D$7*(1+AL$2)),$E29,(RiskSlide!$A$7),($G29+AL$3),((RiskSlide!$A$10)/260),$C29,$B29,RiskSlide!$H58)</f>
        <v>-720.50304268532273</v>
      </c>
      <c r="AM29">
        <f>PnL(($D$7*(1+AM$2)),$E29,(RiskSlide!$A$7),($G29+AM$3),((RiskSlide!$A$10)/260),$C29,$B29,RiskSlide!$H58)</f>
        <v>-1452.1969959783974</v>
      </c>
      <c r="AN29">
        <f>PnL(($D$7*(1+AN$2)),$E29,(RiskSlide!$A$7),($G29+AN$3),((RiskSlide!$A$10)/260),$C29,$B29,RiskSlide!$H58)</f>
        <v>-1937.2441311749071</v>
      </c>
      <c r="AO29">
        <f>PnL(($D$7*(1+AO$2)),$E29,(RiskSlide!$A$7),($G29+AO$3),((RiskSlide!$A$10)/260),$C29,$B29,RiskSlide!$H58)</f>
        <v>-1989.633470490844</v>
      </c>
      <c r="AP29">
        <f>PnL(($D$7*(1+AP$2)),$E29,(RiskSlide!$A$7),($G29+AP$3),((RiskSlide!$A$10)/260),$C29,$B29,RiskSlide!$H58)</f>
        <v>-2039.9147510235593</v>
      </c>
      <c r="AQ29">
        <f>PnL(($D$7*(1+AQ$2)),$E29,(RiskSlide!$A$7),($G29+AQ$3),((RiskSlide!$A$10)/260),$C29,$B29,RiskSlide!$H58)</f>
        <v>-2087.9997656241471</v>
      </c>
      <c r="AR29">
        <f>PnL(($D$7*(1+AR$2)),$E29,(RiskSlide!$A$7),($G29+AR$3),((RiskSlide!$A$10)/260),$C29,$B29,RiskSlide!$H58)</f>
        <v>-2133.7998107291583</v>
      </c>
      <c r="AS29">
        <f>PnL(($D$7*(1+AS$2)),$E29,(RiskSlide!$A$7),($G29+AS$3),((RiskSlide!$A$10)/260),$C29,$B29,RiskSlide!$H58)</f>
        <v>-2408.2138753313416</v>
      </c>
      <c r="AT29">
        <f>PnL(($D$7*(1+AT$2)),$E29,(RiskSlide!$A$7),($G29+AT$3),((RiskSlide!$A$10)/260),$C29,$B29,RiskSlide!$H58)</f>
        <v>-2516.437228879056</v>
      </c>
      <c r="AU29">
        <f>PnL(($D$7*(1+AU$2)),$E29,(RiskSlide!$A$7),($G29+AU$3),((RiskSlide!$A$10)/260),$C29,$B29,RiskSlide!$H58)</f>
        <v>1091.3075079110968</v>
      </c>
      <c r="AV29">
        <f>PnL(($D$7*(1+AV$2)),$E29,(RiskSlide!$A$7),($G29+AV$3),((RiskSlide!$A$10)/260),$C29,$B29,RiskSlide!$H58)</f>
        <v>463.13114775688291</v>
      </c>
      <c r="AW29">
        <f>PnL(($D$7*(1+AW$2)),$E29,(RiskSlide!$A$7),($G29+AW$3),((RiskSlide!$A$10)/260),$C29,$B29,RiskSlide!$H58)</f>
        <v>76.510517759516006</v>
      </c>
      <c r="AX29">
        <f>PnL(($D$7*(1+AX$2)),$E29,(RiskSlide!$A$7),($G29+AX$3),((RiskSlide!$A$10)/260),$C29,$B29,RiskSlide!$H58)</f>
        <v>37.157255203624118</v>
      </c>
      <c r="AY29">
        <f>PnL(($D$7*(1+AY$2)),$E29,(RiskSlide!$A$7),($G29+AY$3),((RiskSlide!$A$10)/260),$C29,$B29,RiskSlide!$H58)</f>
        <v>0</v>
      </c>
      <c r="AZ29">
        <f>PnL(($D$7*(1+AZ$2)),$E29,(RiskSlide!$A$7),($G29+AZ$3),((RiskSlide!$A$10)/260),$C29,$B29,RiskSlide!$H58)</f>
        <v>-34.908078420755828</v>
      </c>
      <c r="BA29">
        <f>PnL(($D$7*(1+BA$2)),$E29,(RiskSlide!$A$7),($G29+BA$3),((RiskSlide!$A$10)/260),$C29,$B29,RiskSlide!$H58)</f>
        <v>-67.519218960455873</v>
      </c>
      <c r="BB29">
        <f>PnL(($D$7*(1+BB$2)),$E29,(RiskSlide!$A$7),($G29+BB$3),((RiskSlide!$A$10)/260),$C29,$B29,RiskSlide!$H58)</f>
        <v>-243.23643789188054</v>
      </c>
      <c r="BC29">
        <f>PnL(($D$7*(1+BC$2)),$E29,(RiskSlide!$A$7),($G29+BC$3),((RiskSlide!$A$10)/260),$C29,$B29,RiskSlide!$H58)</f>
        <v>-291.05558027958978</v>
      </c>
      <c r="BD29">
        <f>PnL(($D$7*(1+BD$2)),$E29,(RiskSlide!$A$7),($G29+BD$3),((RiskSlide!$A$10)/260),$C29,$B29,RiskSlide!$H58)</f>
        <v>2984.4982794973021</v>
      </c>
      <c r="BE29">
        <f>PnL(($D$7*(1+BE$2)),$E29,(RiskSlide!$A$7),($G29+BE$3),((RiskSlide!$A$10)/260),$C29,$B29,RiskSlide!$H58)</f>
        <v>2458.2836168088988</v>
      </c>
      <c r="BF29">
        <f>PnL(($D$7*(1+BF$2)),$E29,(RiskSlide!$A$7),($G29+BF$3),((RiskSlide!$A$10)/260),$C29,$B29,RiskSlide!$H58)</f>
        <v>2161.0419440113446</v>
      </c>
      <c r="BG29">
        <f>PnL(($D$7*(1+BG$2)),$E29,(RiskSlide!$A$7),($G29+BG$3),((RiskSlide!$A$10)/260),$C29,$B29,RiskSlide!$H58)</f>
        <v>2132.8226138038531</v>
      </c>
      <c r="BH29">
        <f>PnL(($D$7*(1+BH$2)),$E29,(RiskSlide!$A$7),($G29+BH$3),((RiskSlide!$A$10)/260),$C29,$B29,RiskSlide!$H58)</f>
        <v>2106.6788506915373</v>
      </c>
      <c r="BI29">
        <f>PnL(($D$7*(1+BI$2)),$E29,(RiskSlide!$A$7),($G29+BI$3),((RiskSlide!$A$10)/260),$C29,$B29,RiskSlide!$H58)</f>
        <v>2082.619223491065</v>
      </c>
      <c r="BJ29">
        <f>PnL(($D$7*(1+BJ$2)),$E29,(RiskSlide!$A$7),($G29+BJ$3),((RiskSlide!$A$10)/260),$C29,$B29,RiskSlide!$H58)</f>
        <v>2060.6425942142437</v>
      </c>
      <c r="BK29">
        <f>PnL(($D$7*(1+BK$2)),$E29,(RiskSlide!$A$7),($G29+BK$3),((RiskSlide!$A$10)/260),$C29,$B29,RiskSlide!$H58)</f>
        <v>1955.3180128842769</v>
      </c>
      <c r="BL29">
        <f>PnL(($D$7*(1+BL$2)),$E29,(RiskSlide!$A$7),($G29+BL$3),((RiskSlide!$A$10)/260),$C29,$B29,RiskSlide!$H58)</f>
        <v>1935.9802446002163</v>
      </c>
      <c r="BM29">
        <f>PnL(($D$7*(1+BM$2)),$E29,(RiskSlide!$A$7),($G29+BM$3),((RiskSlide!$A$10)/260),$C29,$B29,RiskSlide!$H58)</f>
        <v>4947.363459297776</v>
      </c>
      <c r="BN29">
        <f>PnL(($D$7*(1+BN$2)),$E29,(RiskSlide!$A$7),($G29+BN$3),((RiskSlide!$A$10)/260),$C29,$B29,RiskSlide!$H58)</f>
        <v>4517.0234192070784</v>
      </c>
      <c r="BO29">
        <f>PnL(($D$7*(1+BO$2)),$E29,(RiskSlide!$A$7),($G29+BO$3),((RiskSlide!$A$10)/260),$C29,$B29,RiskSlide!$H58)</f>
        <v>4296.3993217749703</v>
      </c>
      <c r="BP29">
        <f>PnL(($D$7*(1+BP$2)),$E29,(RiskSlide!$A$7),($G29+BP$3),((RiskSlide!$A$10)/260),$C29,$B29,RiskSlide!$H58)</f>
        <v>4277.068556961638</v>
      </c>
      <c r="BQ29">
        <f>PnL(($D$7*(1+BQ$2)),$E29,(RiskSlide!$A$7),($G29+BQ$3),((RiskSlide!$A$10)/260),$C29,$B29,RiskSlide!$H58)</f>
        <v>4259.5416187228348</v>
      </c>
      <c r="BR29">
        <f>PnL(($D$7*(1+BR$2)),$E29,(RiskSlide!$A$7),($G29+BR$3),((RiskSlide!$A$10)/260),$C29,$B29,RiskSlide!$H58)</f>
        <v>4243.7856661998121</v>
      </c>
      <c r="BS29">
        <f>PnL(($D$7*(1+BS$2)),$E29,(RiskSlide!$A$7),($G29+BS$3),((RiskSlide!$A$10)/260),$C29,$B29,RiskSlide!$H58)</f>
        <v>4229.7569179112888</v>
      </c>
      <c r="BT29">
        <f>PnL(($D$7*(1+BT$2)),$E29,(RiskSlide!$A$7),($G29+BT$3),((RiskSlide!$A$10)/260),$C29,$B29,RiskSlide!$H58)</f>
        <v>4170.4620896366578</v>
      </c>
      <c r="BU29">
        <f>PnL(($D$7*(1+BU$2)),$E29,(RiskSlide!$A$7),($G29+BU$3),((RiskSlide!$A$10)/260),$C29,$B29,RiskSlide!$H58)</f>
        <v>4163.2716470105606</v>
      </c>
      <c r="BV29">
        <f>PnL(($D$7*(1+BV$2)),$E29,(RiskSlide!$A$7),($G29+BV$3),((RiskSlide!$A$10)/260),$C29,$B29,RiskSlide!$H58)</f>
        <v>22027.674628619934</v>
      </c>
      <c r="BW29">
        <f>PnL(($D$7*(1+BW$2)),$E29,(RiskSlide!$A$7),($G29+BW$3),((RiskSlide!$A$10)/260),$C29,$B29,RiskSlide!$H58)</f>
        <v>21988.854371263642</v>
      </c>
      <c r="BX29">
        <f>PnL(($D$7*(1+BX$2)),$E29,(RiskSlide!$A$7),($G29+BX$3),((RiskSlide!$A$10)/260),$C29,$B29,RiskSlide!$H58)</f>
        <v>21982.442121372402</v>
      </c>
      <c r="BY29">
        <f>PnL(($D$7*(1+BY$2)),$E29,(RiskSlide!$A$7),($G29+BY$3),((RiskSlide!$A$10)/260),$C29,$B29,RiskSlide!$H58)</f>
        <v>21982.246158011661</v>
      </c>
      <c r="BZ29">
        <f>PnL(($D$7*(1+BZ$2)),$E29,(RiskSlide!$A$7),($G29+BZ$3),((RiskSlide!$A$10)/260),$C29,$B29,RiskSlide!$H58)</f>
        <v>21982.109262030008</v>
      </c>
      <c r="CA29">
        <f>PnL(($D$7*(1+CA$2)),$E29,(RiskSlide!$A$7),($G29+CA$3),((RiskSlide!$A$10)/260),$C29,$B29,RiskSlide!$H58)</f>
        <v>21982.016573345903</v>
      </c>
      <c r="CB29">
        <f>PnL(($D$7*(1+CB$2)),$E29,(RiskSlide!$A$7),($G29+CB$3),((RiskSlide!$A$10)/260),$C29,$B29,RiskSlide!$H58)</f>
        <v>21981.95597477752</v>
      </c>
      <c r="CC29">
        <f>PnL(($D$7*(1+CC$2)),$E29,(RiskSlide!$A$7),($G29+CC$3),((RiskSlide!$A$10)/260),$C29,$B29,RiskSlide!$H58)</f>
        <v>21981.868507582873</v>
      </c>
      <c r="CD29">
        <f>PnL(($D$7*(1+CD$2)),$E29,(RiskSlide!$A$7),($G29+CD$3),((RiskSlide!$A$10)/260),$C29,$B29,RiskSlide!$H58)</f>
        <v>21981.868367657342</v>
      </c>
      <c r="CE29">
        <f>PnL(($D$7*(1+CE$2)),$E29,(RiskSlide!$A$7),($G29+CE$3),((RiskSlide!$A$10)/260),$C29,$B29,RiskSlide!$H58)</f>
        <v>44255.483570964883</v>
      </c>
      <c r="CF29">
        <f>PnL(($D$7*(1+CF$2)),$E29,(RiskSlide!$A$7),($G29+CF$3),((RiskSlide!$A$10)/260),$C29,$B29,RiskSlide!$H58)</f>
        <v>44255.125385159488</v>
      </c>
      <c r="CG29">
        <f>PnL(($D$7*(1+CG$2)),$E29,(RiskSlide!$A$7),($G29+CG$3),((RiskSlide!$A$10)/260),$C29,$B29,RiskSlide!$H58)</f>
        <v>44255.118397413586</v>
      </c>
      <c r="CH29">
        <f>PnL(($D$7*(1+CH$2)),$E29,(RiskSlide!$A$7),($G29+CH$3),((RiskSlide!$A$10)/260),$C29,$B29,RiskSlide!$H58)</f>
        <v>44255.118379395244</v>
      </c>
      <c r="CI29">
        <f>PnL(($D$7*(1+CI$2)),$E29,(RiskSlide!$A$7),($G29+CI$3),((RiskSlide!$A$10)/260),$C29,$B29,RiskSlide!$H58)</f>
        <v>44255.118371949211</v>
      </c>
      <c r="CJ29">
        <f>PnL(($D$7*(1+CJ$2)),$E29,(RiskSlide!$A$7),($G29+CJ$3),((RiskSlide!$A$10)/260),$C29,$B29,RiskSlide!$H58)</f>
        <v>44255.118369099138</v>
      </c>
      <c r="CK29">
        <f>PnL(($D$7*(1+CK$2)),$E29,(RiskSlide!$A$7),($G29+CK$3),((RiskSlide!$A$10)/260),$C29,$B29,RiskSlide!$H58)</f>
        <v>44255.118368097785</v>
      </c>
      <c r="CL29">
        <f>PnL(($D$7*(1+CL$2)),$E29,(RiskSlide!$A$7),($G29+CL$3),((RiskSlide!$A$10)/260),$C29,$B29,RiskSlide!$H58)</f>
        <v>44255.118367657305</v>
      </c>
      <c r="CM29">
        <f>PnL(($D$7*(1+CM$2)),$E29,(RiskSlide!$A$7),($G29+CM$3),((RiskSlide!$A$10)/260),$C29,$B29,RiskSlide!$H58)</f>
        <v>44255.118367657356</v>
      </c>
    </row>
    <row r="30" spans="1:91" x14ac:dyDescent="0.25">
      <c r="A30" t="s">
        <v>25</v>
      </c>
      <c r="B30">
        <v>-1</v>
      </c>
      <c r="C30">
        <v>0</v>
      </c>
      <c r="E30">
        <v>1725</v>
      </c>
      <c r="F30">
        <v>3.5000000000000001E-3</v>
      </c>
      <c r="G30">
        <v>0.176455</v>
      </c>
      <c r="K30">
        <f>PnL(($D$7*(1+K$2)),$E30,(RiskSlide!$A$7),($G30+K$3),((RiskSlide!$A$10)/260),$C30,$B30,RiskSlide!$H59)</f>
        <v>-6020.5736718523876</v>
      </c>
      <c r="L30">
        <f>PnL(($D$7*(1+L$2)),$E30,(RiskSlide!$A$7),($G30+L$3),((RiskSlide!$A$10)/260),$C30,$B30,RiskSlide!$H59)</f>
        <v>-6006.8586250981052</v>
      </c>
      <c r="M30">
        <f>PnL(($D$7*(1+M$2)),$E30,(RiskSlide!$A$7),($G30+M$3),((RiskSlide!$A$10)/260),$C30,$B30,RiskSlide!$H59)</f>
        <v>-6003.8061593124876</v>
      </c>
      <c r="N30">
        <f>PnL(($D$7*(1+N$2)),$E30,(RiskSlide!$A$7),($G30+N$3),((RiskSlide!$A$10)/260),$C30,$B30,RiskSlide!$H59)</f>
        <v>-6003.6805313112818</v>
      </c>
      <c r="O30">
        <f>PnL(($D$7*(1+O$2)),$E30,(RiskSlide!$A$7),($G30+O$3),((RiskSlide!$A$10)/260),$C30,$B30,RiskSlide!$H59)</f>
        <v>-6003.5863910694143</v>
      </c>
      <c r="P30">
        <f>PnL(($D$7*(1+P$2)),$E30,(RiskSlide!$A$7),($G30+P$3),((RiskSlide!$A$10)/260),$C30,$B30,RiskSlide!$H59)</f>
        <v>-6003.517599855807</v>
      </c>
      <c r="Q30">
        <f>PnL(($D$7*(1+Q$2)),$E30,(RiskSlide!$A$7),($G30+Q$3),((RiskSlide!$A$10)/260),$C30,$B30,RiskSlide!$H59)</f>
        <v>-6003.4687286303761</v>
      </c>
      <c r="R30">
        <f>PnL(($D$7*(1+R$2)),$E30,(RiskSlide!$A$7),($G30+R$3),((RiskSlide!$A$10)/260),$C30,$B30,RiskSlide!$H59)</f>
        <v>-6003.3800059519062</v>
      </c>
      <c r="S30">
        <f>PnL(($D$7*(1+S$2)),$E30,(RiskSlide!$A$7),($G30+S$3),((RiskSlide!$A$10)/260),$C30,$B30,RiskSlide!$H59)</f>
        <v>-6003.3795677969674</v>
      </c>
      <c r="T30">
        <f>PnL(($D$7*(1+T$2)),$E30,(RiskSlide!$A$7),($G30+T$3),((RiskSlide!$A$10)/260),$C30,$B30,RiskSlide!$H59)</f>
        <v>-2085.5144132816099</v>
      </c>
      <c r="U30">
        <f>PnL(($D$7*(1+U$2)),$E30,(RiskSlide!$A$7),($G30+U$3),((RiskSlide!$A$10)/260),$C30,$B30,RiskSlide!$H59)</f>
        <v>-1909.5763024935629</v>
      </c>
      <c r="V30">
        <f>PnL(($D$7*(1+V$2)),$E30,(RiskSlide!$A$7),($G30+V$3),((RiskSlide!$A$10)/260),$C30,$B30,RiskSlide!$H59)</f>
        <v>-1780.7294482410023</v>
      </c>
      <c r="W30">
        <f>PnL(($D$7*(1+W$2)),$E30,(RiskSlide!$A$7),($G30+W$3),((RiskSlide!$A$10)/260),$C30,$B30,RiskSlide!$H59)</f>
        <v>-1765.6818504309151</v>
      </c>
      <c r="X30">
        <f>PnL(($D$7*(1+X$2)),$E30,(RiskSlide!$A$7),($G30+X$3),((RiskSlide!$A$10)/260),$C30,$B30,RiskSlide!$H59)</f>
        <v>-1750.9211869471849</v>
      </c>
      <c r="Y30">
        <f>PnL(($D$7*(1+Y$2)),$E30,(RiskSlide!$A$7),($G30+Y$3),((RiskSlide!$A$10)/260),$C30,$B30,RiskSlide!$H59)</f>
        <v>-1736.4663548465367</v>
      </c>
      <c r="Z30">
        <f>PnL(($D$7*(1+Z$2)),$E30,(RiskSlide!$A$7),($G30+Z$3),((RiskSlide!$A$10)/260),$C30,$B30,RiskSlide!$H59)</f>
        <v>-1722.3376994158436</v>
      </c>
      <c r="AA30">
        <f>PnL(($D$7*(1+AA$2)),$E30,(RiskSlide!$A$7),($G30+AA$3),((RiskSlide!$A$10)/260),$C30,$B30,RiskSlide!$H59)</f>
        <v>-1624.0380669702952</v>
      </c>
      <c r="AB30">
        <f>PnL(($D$7*(1+AB$2)),$E30,(RiskSlide!$A$7),($G30+AB$3),((RiskSlide!$A$10)/260),$C30,$B30,RiskSlide!$H59)</f>
        <v>-1555.9208711101726</v>
      </c>
      <c r="AC30">
        <f>PnL(($D$7*(1+AC$2)),$E30,(RiskSlide!$A$7),($G30+AC$3),((RiskSlide!$A$10)/260),$C30,$B30,RiskSlide!$H59)</f>
        <v>-403.09258886623593</v>
      </c>
      <c r="AD30">
        <f>PnL(($D$7*(1+AD$2)),$E30,(RiskSlide!$A$7),($G30+AD$3),((RiskSlide!$A$10)/260),$C30,$B30,RiskSlide!$H59)</f>
        <v>-236.86474753992357</v>
      </c>
      <c r="AE30">
        <f>PnL(($D$7*(1+AE$2)),$E30,(RiskSlide!$A$7),($G30+AE$3),((RiskSlide!$A$10)/260),$C30,$B30,RiskSlide!$H59)</f>
        <v>-119.57681343966797</v>
      </c>
      <c r="AF30">
        <f>PnL(($D$7*(1+AF$2)),$E30,(RiskSlide!$A$7),($G30+AF$3),((RiskSlide!$A$10)/260),$C30,$B30,RiskSlide!$H59)</f>
        <v>-106.27073884141751</v>
      </c>
      <c r="AG30">
        <f>PnL(($D$7*(1+AG$2)),$E30,(RiskSlide!$A$7),($G30+AG$3),((RiskSlide!$A$10)/260),$C30,$B30,RiskSlide!$H59)</f>
        <v>-93.324170927534311</v>
      </c>
      <c r="AH30">
        <f>PnL(($D$7*(1+AH$2)),$E30,(RiskSlide!$A$7),($G30+AH$3),((RiskSlide!$A$10)/260),$C30,$B30,RiskSlide!$H59)</f>
        <v>-80.757542023771833</v>
      </c>
      <c r="AI30">
        <f>PnL(($D$7*(1+AI$2)),$E30,(RiskSlide!$A$7),($G30+AI$3),((RiskSlide!$A$10)/260),$C30,$B30,RiskSlide!$H59)</f>
        <v>-68.592393720317801</v>
      </c>
      <c r="AJ30">
        <f>PnL(($D$7*(1+AJ$2)),$E30,(RiskSlide!$A$7),($G30+AJ$3),((RiskSlide!$A$10)/260),$C30,$B30,RiskSlide!$H59)</f>
        <v>11.371542624204523</v>
      </c>
      <c r="AK30">
        <f>PnL(($D$7*(1+AK$2)),$E30,(RiskSlide!$A$7),($G30+AK$3),((RiskSlide!$A$10)/260),$C30,$B30,RiskSlide!$H59)</f>
        <v>55.782605601469726</v>
      </c>
      <c r="AL30">
        <f>PnL(($D$7*(1+AL$2)),$E30,(RiskSlide!$A$7),($G30+AL$3),((RiskSlide!$A$10)/260),$C30,$B30,RiskSlide!$H59)</f>
        <v>-301.36439146293196</v>
      </c>
      <c r="AM30">
        <f>PnL(($D$7*(1+AM$2)),$E30,(RiskSlide!$A$7),($G30+AM$3),((RiskSlide!$A$10)/260),$C30,$B30,RiskSlide!$H59)</f>
        <v>-155.02560080431422</v>
      </c>
      <c r="AN30">
        <f>PnL(($D$7*(1+AN$2)),$E30,(RiskSlide!$A$7),($G30+AN$3),((RiskSlide!$A$10)/260),$C30,$B30,RiskSlide!$H59)</f>
        <v>-58.016173765010848</v>
      </c>
      <c r="AO30">
        <f>PnL(($D$7*(1+AO$2)),$E30,(RiskSlide!$A$7),($G30+AO$3),((RiskSlide!$A$10)/260),$C30,$B30,RiskSlide!$H59)</f>
        <v>-47.538305901826305</v>
      </c>
      <c r="AP30">
        <f>PnL(($D$7*(1+AP$2)),$E30,(RiskSlide!$A$7),($G30+AP$3),((RiskSlide!$A$10)/260),$C30,$B30,RiskSlide!$H59)</f>
        <v>-37.482049795274719</v>
      </c>
      <c r="AQ30">
        <f>PnL(($D$7*(1+AQ$2)),$E30,(RiskSlide!$A$7),($G30+AQ$3),((RiskSlide!$A$10)/260),$C30,$B30,RiskSlide!$H59)</f>
        <v>-27.865046875172794</v>
      </c>
      <c r="AR30">
        <f>PnL(($D$7*(1+AR$2)),$E30,(RiskSlide!$A$7),($G30+AR$3),((RiskSlide!$A$10)/260),$C30,$B30,RiskSlide!$H59)</f>
        <v>-18.705037854156359</v>
      </c>
      <c r="AS30">
        <f>PnL(($D$7*(1+AS$2)),$E30,(RiskSlide!$A$7),($G30+AS$3),((RiskSlide!$A$10)/260),$C30,$B30,RiskSlide!$H59)</f>
        <v>36.177775066285278</v>
      </c>
      <c r="AT30">
        <f>PnL(($D$7*(1+AT$2)),$E30,(RiskSlide!$A$7),($G30+AT$3),((RiskSlide!$A$10)/260),$C30,$B30,RiskSlide!$H59)</f>
        <v>57.822445775821961</v>
      </c>
      <c r="AU30">
        <f>PnL(($D$7*(1+AU$2)),$E30,(RiskSlide!$A$7),($G30+AU$3),((RiskSlide!$A$10)/260),$C30,$B30,RiskSlide!$H59)</f>
        <v>-218.26150158221438</v>
      </c>
      <c r="AV30">
        <f>PnL(($D$7*(1+AV$2)),$E30,(RiskSlide!$A$7),($G30+AV$3),((RiskSlide!$A$10)/260),$C30,$B30,RiskSlide!$H59)</f>
        <v>-92.626229551371608</v>
      </c>
      <c r="AW30">
        <f>PnL(($D$7*(1+AW$2)),$E30,(RiskSlide!$A$7),($G30+AW$3),((RiskSlide!$A$10)/260),$C30,$B30,RiskSlide!$H59)</f>
        <v>-15.302103551886859</v>
      </c>
      <c r="AX30">
        <f>PnL(($D$7*(1+AX$2)),$E30,(RiskSlide!$A$7),($G30+AX$3),((RiskSlide!$A$10)/260),$C30,$B30,RiskSlide!$H59)</f>
        <v>-7.4314510407099021</v>
      </c>
      <c r="AY30">
        <f>PnL(($D$7*(1+AY$2)),$E30,(RiskSlide!$A$7),($G30+AY$3),((RiskSlide!$A$10)/260),$C30,$B30,RiskSlide!$H59)</f>
        <v>0</v>
      </c>
      <c r="AZ30">
        <f>PnL(($D$7*(1+AZ$2)),$E30,(RiskSlide!$A$7),($G30+AZ$3),((RiskSlide!$A$10)/260),$C30,$B30,RiskSlide!$H59)</f>
        <v>6.9816156841675081</v>
      </c>
      <c r="BA30">
        <f>PnL(($D$7*(1+BA$2)),$E30,(RiskSlide!$A$7),($G30+BA$3),((RiskSlide!$A$10)/260),$C30,$B30,RiskSlide!$H59)</f>
        <v>13.503843792118175</v>
      </c>
      <c r="BB30">
        <f>PnL(($D$7*(1+BB$2)),$E30,(RiskSlide!$A$7),($G30+BB$3),((RiskSlide!$A$10)/260),$C30,$B30,RiskSlide!$H59)</f>
        <v>48.647287578394227</v>
      </c>
      <c r="BC30">
        <f>PnL(($D$7*(1+BC$2)),$E30,(RiskSlide!$A$7),($G30+BC$3),((RiskSlide!$A$10)/260),$C30,$B30,RiskSlide!$H59)</f>
        <v>58.211116055931299</v>
      </c>
      <c r="BD30">
        <f>PnL(($D$7*(1+BD$2)),$E30,(RiskSlide!$A$7),($G30+BD$3),((RiskSlide!$A$10)/260),$C30,$B30,RiskSlide!$H59)</f>
        <v>-151.43465589947382</v>
      </c>
      <c r="BE30">
        <f>PnL(($D$7*(1+BE$2)),$E30,(RiskSlide!$A$7),($G30+BE$3),((RiskSlide!$A$10)/260),$C30,$B30,RiskSlide!$H59)</f>
        <v>-46.191723361781811</v>
      </c>
      <c r="BF30">
        <f>PnL(($D$7*(1+BF$2)),$E30,(RiskSlide!$A$7),($G30+BF$3),((RiskSlide!$A$10)/260),$C30,$B30,RiskSlide!$H59)</f>
        <v>13.256611197745372</v>
      </c>
      <c r="BG30">
        <f>PnL(($D$7*(1+BG$2)),$E30,(RiskSlide!$A$7),($G30+BG$3),((RiskSlide!$A$10)/260),$C30,$B30,RiskSlide!$H59)</f>
        <v>18.900477239243685</v>
      </c>
      <c r="BH30">
        <f>PnL(($D$7*(1+BH$2)),$E30,(RiskSlide!$A$7),($G30+BH$3),((RiskSlide!$A$10)/260),$C30,$B30,RiskSlide!$H59)</f>
        <v>24.129229861694768</v>
      </c>
      <c r="BI30">
        <f>PnL(($D$7*(1+BI$2)),$E30,(RiskSlide!$A$7),($G30+BI$3),((RiskSlide!$A$10)/260),$C30,$B30,RiskSlide!$H59)</f>
        <v>28.941155301793486</v>
      </c>
      <c r="BJ30">
        <f>PnL(($D$7*(1+BJ$2)),$E30,(RiskSlide!$A$7),($G30+BJ$3),((RiskSlide!$A$10)/260),$C30,$B30,RiskSlide!$H59)</f>
        <v>33.336481157146025</v>
      </c>
      <c r="BK30">
        <f>PnL(($D$7*(1+BK$2)),$E30,(RiskSlide!$A$7),($G30+BK$3),((RiskSlide!$A$10)/260),$C30,$B30,RiskSlide!$H59)</f>
        <v>54.401397423151735</v>
      </c>
      <c r="BL30">
        <f>PnL(($D$7*(1+BL$2)),$E30,(RiskSlide!$A$7),($G30+BL$3),((RiskSlide!$A$10)/260),$C30,$B30,RiskSlide!$H59)</f>
        <v>58.268951079953879</v>
      </c>
      <c r="BM30">
        <f>PnL(($D$7*(1+BM$2)),$E30,(RiskSlide!$A$7),($G30+BM$3),((RiskSlide!$A$10)/260),$C30,$B30,RiskSlide!$H59)</f>
        <v>-98.542691859542941</v>
      </c>
      <c r="BN30">
        <f>PnL(($D$7*(1+BN$2)),$E30,(RiskSlide!$A$7),($G30+BN$3),((RiskSlide!$A$10)/260),$C30,$B30,RiskSlide!$H59)</f>
        <v>-12.474683841407597</v>
      </c>
      <c r="BO30">
        <f>PnL(($D$7*(1+BO$2)),$E30,(RiskSlide!$A$7),($G30+BO$3),((RiskSlide!$A$10)/260),$C30,$B30,RiskSlide!$H59)</f>
        <v>31.650135645018196</v>
      </c>
      <c r="BP30">
        <f>PnL(($D$7*(1+BP$2)),$E30,(RiskSlide!$A$7),($G30+BP$3),((RiskSlide!$A$10)/260),$C30,$B30,RiskSlide!$H59)</f>
        <v>35.516288607675506</v>
      </c>
      <c r="BQ30">
        <f>PnL(($D$7*(1+BQ$2)),$E30,(RiskSlide!$A$7),($G30+BQ$3),((RiskSlide!$A$10)/260),$C30,$B30,RiskSlide!$H59)</f>
        <v>39.021676255444859</v>
      </c>
      <c r="BR30">
        <f>PnL(($D$7*(1+BR$2)),$E30,(RiskSlide!$A$7),($G30+BR$3),((RiskSlide!$A$10)/260),$C30,$B30,RiskSlide!$H59)</f>
        <v>42.172866760056849</v>
      </c>
      <c r="BS30">
        <f>PnL(($D$7*(1+BS$2)),$E30,(RiskSlide!$A$7),($G30+BS$3),((RiskSlide!$A$10)/260),$C30,$B30,RiskSlide!$H59)</f>
        <v>44.978616417744988</v>
      </c>
      <c r="BT30">
        <f>PnL(($D$7*(1+BT$2)),$E30,(RiskSlide!$A$7),($G30+BT$3),((RiskSlide!$A$10)/260),$C30,$B30,RiskSlide!$H59)</f>
        <v>56.837582072677193</v>
      </c>
      <c r="BU30">
        <f>PnL(($D$7*(1+BU$2)),$E30,(RiskSlide!$A$7),($G30+BU$3),((RiskSlide!$A$10)/260),$C30,$B30,RiskSlide!$H59)</f>
        <v>58.275670597889814</v>
      </c>
      <c r="BV30">
        <f>PnL(($D$7*(1+BV$2)),$E30,(RiskSlide!$A$7),($G30+BV$3),((RiskSlide!$A$10)/260),$C30,$B30,RiskSlide!$H59)</f>
        <v>49.115074276031834</v>
      </c>
      <c r="BW30">
        <f>PnL(($D$7*(1+BW$2)),$E30,(RiskSlide!$A$7),($G30+BW$3),((RiskSlide!$A$10)/260),$C30,$B30,RiskSlide!$H59)</f>
        <v>56.879125747286466</v>
      </c>
      <c r="BX30">
        <f>PnL(($D$7*(1+BX$2)),$E30,(RiskSlide!$A$7),($G30+BX$3),((RiskSlide!$A$10)/260),$C30,$B30,RiskSlide!$H59)</f>
        <v>58.1615757255421</v>
      </c>
      <c r="BY30">
        <f>PnL(($D$7*(1+BY$2)),$E30,(RiskSlide!$A$7),($G30+BY$3),((RiskSlide!$A$10)/260),$C30,$B30,RiskSlide!$H59)</f>
        <v>58.200768397671411</v>
      </c>
      <c r="BZ30">
        <f>PnL(($D$7*(1+BZ$2)),$E30,(RiskSlide!$A$7),($G30+BZ$3),((RiskSlide!$A$10)/260),$C30,$B30,RiskSlide!$H59)</f>
        <v>58.228147594002834</v>
      </c>
      <c r="CA30">
        <f>PnL(($D$7*(1+CA$2)),$E30,(RiskSlide!$A$7),($G30+CA$3),((RiskSlide!$A$10)/260),$C30,$B30,RiskSlide!$H59)</f>
        <v>58.246685330826395</v>
      </c>
      <c r="CB30">
        <f>PnL(($D$7*(1+CB$2)),$E30,(RiskSlide!$A$7),($G30+CB$3),((RiskSlide!$A$10)/260),$C30,$B30,RiskSlide!$H59)</f>
        <v>58.258805044518191</v>
      </c>
      <c r="CC30">
        <f>PnL(($D$7*(1+CC$2)),$E30,(RiskSlide!$A$7),($G30+CC$3),((RiskSlide!$A$10)/260),$C30,$B30,RiskSlide!$H59)</f>
        <v>58.276298483441771</v>
      </c>
      <c r="CD30">
        <f>PnL(($D$7*(1+CD$2)),$E30,(RiskSlide!$A$7),($G30+CD$3),((RiskSlide!$A$10)/260),$C30,$B30,RiskSlide!$H59)</f>
        <v>58.276326468548945</v>
      </c>
      <c r="CE30">
        <f>PnL(($D$7*(1+CE$2)),$E30,(RiskSlide!$A$7),($G30+CE$3),((RiskSlide!$A$10)/260),$C30,$B30,RiskSlide!$H59)</f>
        <v>58.203285807040842</v>
      </c>
      <c r="CF30">
        <f>PnL(($D$7*(1+CF$2)),$E30,(RiskSlide!$A$7),($G30+CF$3),((RiskSlide!$A$10)/260),$C30,$B30,RiskSlide!$H59)</f>
        <v>58.274922968114382</v>
      </c>
      <c r="CG30">
        <f>PnL(($D$7*(1+CG$2)),$E30,(RiskSlide!$A$7),($G30+CG$3),((RiskSlide!$A$10)/260),$C30,$B30,RiskSlide!$H59)</f>
        <v>58.276320517305493</v>
      </c>
      <c r="CH30">
        <f>PnL(($D$7*(1+CH$2)),$E30,(RiskSlide!$A$7),($G30+CH$3),((RiskSlide!$A$10)/260),$C30,$B30,RiskSlide!$H59)</f>
        <v>58.27632412096041</v>
      </c>
      <c r="CI30">
        <f>PnL(($D$7*(1+CI$2)),$E30,(RiskSlide!$A$7),($G30+CI$3),((RiskSlide!$A$10)/260),$C30,$B30,RiskSlide!$H59)</f>
        <v>58.276325610173366</v>
      </c>
      <c r="CJ30">
        <f>PnL(($D$7*(1+CJ$2)),$E30,(RiskSlide!$A$7),($G30+CJ$3),((RiskSlide!$A$10)/260),$C30,$B30,RiskSlide!$H59)</f>
        <v>58.27632618018761</v>
      </c>
      <c r="CK30">
        <f>PnL(($D$7*(1+CK$2)),$E30,(RiskSlide!$A$7),($G30+CK$3),((RiskSlide!$A$10)/260),$C30,$B30,RiskSlide!$H59)</f>
        <v>58.276326380447465</v>
      </c>
      <c r="CL30">
        <f>PnL(($D$7*(1+CL$2)),$E30,(RiskSlide!$A$7),($G30+CL$3),((RiskSlide!$A$10)/260),$C30,$B30,RiskSlide!$H59)</f>
        <v>58.276326468548909</v>
      </c>
      <c r="CM30">
        <f>PnL(($D$7*(1+CM$2)),$E30,(RiskSlide!$A$7),($G30+CM$3),((RiskSlide!$A$10)/260),$C30,$B30,RiskSlide!$H59)</f>
        <v>58.276326468548945</v>
      </c>
    </row>
    <row r="31" spans="1:91" x14ac:dyDescent="0.25">
      <c r="A31" t="s">
        <v>26</v>
      </c>
      <c r="B31">
        <v>-9</v>
      </c>
      <c r="C31">
        <v>1</v>
      </c>
      <c r="E31">
        <v>1730</v>
      </c>
      <c r="F31">
        <v>3.5000000000000001E-3</v>
      </c>
      <c r="G31">
        <v>0.17127000000000001</v>
      </c>
      <c r="K31">
        <f>PnL(($D$7*(1+K$2)),$E31,(RiskSlide!$A$7),($G31+K$3),((RiskSlide!$A$10)/260),$C31,$B31,RiskSlide!$H60)</f>
        <v>23897.801345020609</v>
      </c>
      <c r="L31">
        <f>PnL(($D$7*(1+L$2)),$E31,(RiskSlide!$A$7),($G31+L$3),((RiskSlide!$A$10)/260),$C31,$B31,RiskSlide!$H60)</f>
        <v>23986.143499475209</v>
      </c>
      <c r="M31">
        <f>PnL(($D$7*(1+M$2)),$E31,(RiskSlide!$A$7),($G31+M$3),((RiskSlide!$A$10)/260),$C31,$B31,RiskSlide!$H60)</f>
        <v>24002.348614706803</v>
      </c>
      <c r="N31">
        <f>PnL(($D$7*(1+N$2)),$E31,(RiskSlide!$A$7),($G31+N$3),((RiskSlide!$A$10)/260),$C31,$B31,RiskSlide!$H60)</f>
        <v>24002.890658788168</v>
      </c>
      <c r="O31">
        <f>PnL(($D$7*(1+O$2)),$E31,(RiskSlide!$A$7),($G31+O$3),((RiskSlide!$A$10)/260),$C31,$B31,RiskSlide!$H60)</f>
        <v>24003.276420151156</v>
      </c>
      <c r="P31">
        <f>PnL(($D$7*(1+P$2)),$E31,(RiskSlide!$A$7),($G31+P$3),((RiskSlide!$A$10)/260),$C31,$B31,RiskSlide!$H60)</f>
        <v>24003.542691126117</v>
      </c>
      <c r="Q31">
        <f>PnL(($D$7*(1+Q$2)),$E31,(RiskSlide!$A$7),($G31+Q$3),((RiskSlide!$A$10)/260),$C31,$B31,RiskSlide!$H60)</f>
        <v>24003.720279322144</v>
      </c>
      <c r="R31">
        <f>PnL(($D$7*(1+R$2)),$E31,(RiskSlide!$A$7),($G31+R$3),((RiskSlide!$A$10)/260),$C31,$B31,RiskSlide!$H60)</f>
        <v>24003.988428258446</v>
      </c>
      <c r="S31">
        <f>PnL(($D$7*(1+S$2)),$E31,(RiskSlide!$A$7),($G31+S$3),((RiskSlide!$A$10)/260),$C31,$B31,RiskSlide!$H60)</f>
        <v>24003.988921255019</v>
      </c>
      <c r="T31">
        <f>PnL(($D$7*(1+T$2)),$E31,(RiskSlide!$A$7),($G31+T$3),((RiskSlide!$A$10)/260),$C31,$B31,RiskSlide!$H60)</f>
        <v>19945.264950286517</v>
      </c>
      <c r="U31">
        <f>PnL(($D$7*(1+U$2)),$E31,(RiskSlide!$A$7),($G31+U$3),((RiskSlide!$A$10)/260),$C31,$B31,RiskSlide!$H60)</f>
        <v>21422.091721573252</v>
      </c>
      <c r="V31">
        <f>PnL(($D$7*(1+V$2)),$E31,(RiskSlide!$A$7),($G31+V$3),((RiskSlide!$A$10)/260),$C31,$B31,RiskSlide!$H60)</f>
        <v>22463.611540475671</v>
      </c>
      <c r="W31">
        <f>PnL(($D$7*(1+W$2)),$E31,(RiskSlide!$A$7),($G31+W$3),((RiskSlide!$A$10)/260),$C31,$B31,RiskSlide!$H60)</f>
        <v>22581.606515055526</v>
      </c>
      <c r="X31">
        <f>PnL(($D$7*(1+X$2)),$E31,(RiskSlide!$A$7),($G31+X$3),((RiskSlide!$A$10)/260),$C31,$B31,RiskSlide!$H60)</f>
        <v>22696.347565097385</v>
      </c>
      <c r="Y31">
        <f>PnL(($D$7*(1+Y$2)),$E31,(RiskSlide!$A$7),($G31+Y$3),((RiskSlide!$A$10)/260),$C31,$B31,RiskSlide!$H60)</f>
        <v>22807.643331793617</v>
      </c>
      <c r="Z31">
        <f>PnL(($D$7*(1+Z$2)),$E31,(RiskSlide!$A$7),($G31+Z$3),((RiskSlide!$A$10)/260),$C31,$B31,RiskSlide!$H60)</f>
        <v>22915.29164057969</v>
      </c>
      <c r="AA31">
        <f>PnL(($D$7*(1+AA$2)),$E31,(RiskSlide!$A$7),($G31+AA$3),((RiskSlide!$A$10)/260),$C31,$B31,RiskSlide!$H60)</f>
        <v>23617.803621726118</v>
      </c>
      <c r="AB31">
        <f>PnL(($D$7*(1+AB$2)),$E31,(RiskSlide!$A$7),($G31+AB$3),((RiskSlide!$A$10)/260),$C31,$B31,RiskSlide!$H60)</f>
        <v>23988.324163083736</v>
      </c>
      <c r="AC31">
        <f>PnL(($D$7*(1+AC$2)),$E31,(RiskSlide!$A$7),($G31+AC$3),((RiskSlide!$A$10)/260),$C31,$B31,RiskSlide!$H60)</f>
        <v>4041.0135888896889</v>
      </c>
      <c r="AD31">
        <f>PnL(($D$7*(1+AD$2)),$E31,(RiskSlide!$A$7),($G31+AD$3),((RiskSlide!$A$10)/260),$C31,$B31,RiskSlide!$H60)</f>
        <v>5622.9822467350232</v>
      </c>
      <c r="AE31">
        <f>PnL(($D$7*(1+AE$2)),$E31,(RiskSlide!$A$7),($G31+AE$3),((RiskSlide!$A$10)/260),$C31,$B31,RiskSlide!$H60)</f>
        <v>6765.5331959714313</v>
      </c>
      <c r="AF31">
        <f>PnL(($D$7*(1+AF$2)),$E31,(RiskSlide!$A$7),($G31+AF$3),((RiskSlide!$A$10)/260),$C31,$B31,RiskSlide!$H60)</f>
        <v>6897.4273964943568</v>
      </c>
      <c r="AG31">
        <f>PnL(($D$7*(1+AG$2)),$E31,(RiskSlide!$A$7),($G31+AG$3),((RiskSlide!$A$10)/260),$C31,$B31,RiskSlide!$H60)</f>
        <v>7026.3654994831768</v>
      </c>
      <c r="AH31">
        <f>PnL(($D$7*(1+AH$2)),$E31,(RiskSlide!$A$7),($G31+AH$3),((RiskSlide!$A$10)/260),$C31,$B31,RiskSlide!$H60)</f>
        <v>7152.1562700462146</v>
      </c>
      <c r="AI31">
        <f>PnL(($D$7*(1+AI$2)),$E31,(RiskSlide!$A$7),($G31+AI$3),((RiskSlide!$A$10)/260),$C31,$B31,RiskSlide!$H60)</f>
        <v>7274.5948045022715</v>
      </c>
      <c r="AJ31">
        <f>PnL(($D$7*(1+AJ$2)),$E31,(RiskSlide!$A$7),($G31+AJ$3),((RiskSlide!$A$10)/260),$C31,$B31,RiskSlide!$H60)</f>
        <v>8104.023890448263</v>
      </c>
      <c r="AK31">
        <f>PnL(($D$7*(1+AK$2)),$E31,(RiskSlide!$A$7),($G31+AK$3),((RiskSlide!$A$10)/260),$C31,$B31,RiskSlide!$H60)</f>
        <v>8610.4726504106329</v>
      </c>
      <c r="AL31">
        <f>PnL(($D$7*(1+AL$2)),$E31,(RiskSlide!$A$7),($G31+AL$3),((RiskSlide!$A$10)/260),$C31,$B31,RiskSlide!$H60)</f>
        <v>1037.485371432274</v>
      </c>
      <c r="AM31">
        <f>PnL(($D$7*(1+AM$2)),$E31,(RiskSlide!$A$7),($G31+AM$3),((RiskSlide!$A$10)/260),$C31,$B31,RiskSlide!$H60)</f>
        <v>2444.2506193747363</v>
      </c>
      <c r="AN31">
        <f>PnL(($D$7*(1+AN$2)),$E31,(RiskSlide!$A$7),($G31+AN$3),((RiskSlide!$A$10)/260),$C31,$B31,RiskSlide!$H60)</f>
        <v>3401.8218807998437</v>
      </c>
      <c r="AO31">
        <f>PnL(($D$7*(1+AO$2)),$E31,(RiskSlide!$A$7),($G31+AO$3),((RiskSlide!$A$10)/260),$C31,$B31,RiskSlide!$H60)</f>
        <v>3507.298044199274</v>
      </c>
      <c r="AP31">
        <f>PnL(($D$7*(1+AP$2)),$E31,(RiskSlide!$A$7),($G31+AP$3),((RiskSlide!$A$10)/260),$C31,$B31,RiskSlide!$H60)</f>
        <v>3609.0587056999539</v>
      </c>
      <c r="AQ31">
        <f>PnL(($D$7*(1+AQ$2)),$E31,(RiskSlide!$A$7),($G31+AQ$3),((RiskSlide!$A$10)/260),$C31,$B31,RiskSlide!$H60)</f>
        <v>3706.9177188340177</v>
      </c>
      <c r="AR31">
        <f>PnL(($D$7*(1+AR$2)),$E31,(RiskSlide!$A$7),($G31+AR$3),((RiskSlide!$A$10)/260),$C31,$B31,RiskSlide!$H60)</f>
        <v>3800.6831987682972</v>
      </c>
      <c r="AS31">
        <f>PnL(($D$7*(1+AS$2)),$E31,(RiskSlide!$A$7),($G31+AS$3),((RiskSlide!$A$10)/260),$C31,$B31,RiskSlide!$H60)</f>
        <v>4380.0694952592949</v>
      </c>
      <c r="AT31">
        <f>PnL(($D$7*(1+AT$2)),$E31,(RiskSlide!$A$7),($G31+AT$3),((RiskSlide!$A$10)/260),$C31,$B31,RiskSlide!$H60)</f>
        <v>4628.5919409813459</v>
      </c>
      <c r="AU31">
        <f>PnL(($D$7*(1+AU$2)),$E31,(RiskSlide!$A$7),($G31+AU$3),((RiskSlide!$A$10)/260),$C31,$B31,RiskSlide!$H60)</f>
        <v>-2146.5989738202097</v>
      </c>
      <c r="AV31">
        <f>PnL(($D$7*(1+AV$2)),$E31,(RiskSlide!$A$7),($G31+AV$3),((RiskSlide!$A$10)/260),$C31,$B31,RiskSlide!$H60)</f>
        <v>-928.12645004131582</v>
      </c>
      <c r="AW31">
        <f>PnL(($D$7*(1+AW$2)),$E31,(RiskSlide!$A$7),($G31+AW$3),((RiskSlide!$A$10)/260),$C31,$B31,RiskSlide!$H60)</f>
        <v>-156.39279446471619</v>
      </c>
      <c r="AX31">
        <f>PnL(($D$7*(1+AX$2)),$E31,(RiskSlide!$A$7),($G31+AX$3),((RiskSlide!$A$10)/260),$C31,$B31,RiskSlide!$H60)</f>
        <v>-76.164676985160895</v>
      </c>
      <c r="AY31">
        <f>PnL(($D$7*(1+AY$2)),$E31,(RiskSlide!$A$7),($G31+AY$3),((RiskSlide!$A$10)/260),$C31,$B31,RiskSlide!$H60)</f>
        <v>0</v>
      </c>
      <c r="AZ31">
        <f>PnL(($D$7*(1+AZ$2)),$E31,(RiskSlide!$A$7),($G31+AZ$3),((RiskSlide!$A$10)/260),$C31,$B31,RiskSlide!$H60)</f>
        <v>71.968943194269741</v>
      </c>
      <c r="BA31">
        <f>PnL(($D$7*(1+BA$2)),$E31,(RiskSlide!$A$7),($G31+BA$3),((RiskSlide!$A$10)/260),$C31,$B31,RiskSlide!$H60)</f>
        <v>139.61601426198058</v>
      </c>
      <c r="BB31">
        <f>PnL(($D$7*(1+BB$2)),$E31,(RiskSlide!$A$7),($G31+BB$3),((RiskSlide!$A$10)/260),$C31,$B31,RiskSlide!$H60)</f>
        <v>514.95396576419807</v>
      </c>
      <c r="BC31">
        <f>PnL(($D$7*(1+BC$2)),$E31,(RiskSlide!$A$7),($G31+BC$3),((RiskSlide!$A$10)/260),$C31,$B31,RiskSlide!$H60)</f>
        <v>624.32894983218148</v>
      </c>
      <c r="BD31">
        <f>PnL(($D$7*(1+BD$2)),$E31,(RiskSlide!$A$7),($G31+BD$3),((RiskSlide!$A$10)/260),$C31,$B31,RiskSlide!$H60)</f>
        <v>-5489.712839718266</v>
      </c>
      <c r="BE31">
        <f>PnL(($D$7*(1+BE$2)),$E31,(RiskSlide!$A$7),($G31+BE$3),((RiskSlide!$A$10)/260),$C31,$B31,RiskSlide!$H60)</f>
        <v>-4461.1692718930499</v>
      </c>
      <c r="BF31">
        <f>PnL(($D$7*(1+BF$2)),$E31,(RiskSlide!$A$7),($G31+BF$3),((RiskSlide!$A$10)/260),$C31,$B31,RiskSlide!$H60)</f>
        <v>-3862.5235928462985</v>
      </c>
      <c r="BG31">
        <f>PnL(($D$7*(1+BG$2)),$E31,(RiskSlide!$A$7),($G31+BG$3),((RiskSlide!$A$10)/260),$C31,$B31,RiskSlide!$H60)</f>
        <v>-3804.4371247552021</v>
      </c>
      <c r="BH31">
        <f>PnL(($D$7*(1+BH$2)),$E31,(RiskSlide!$A$7),($G31+BH$3),((RiskSlide!$A$10)/260),$C31,$B31,RiskSlide!$H60)</f>
        <v>-3750.3299628153854</v>
      </c>
      <c r="BI31">
        <f>PnL(($D$7*(1+BI$2)),$E31,(RiskSlide!$A$7),($G31+BI$3),((RiskSlide!$A$10)/260),$C31,$B31,RiskSlide!$H60)</f>
        <v>-3700.250922809164</v>
      </c>
      <c r="BJ31">
        <f>PnL(($D$7*(1+BJ$2)),$E31,(RiskSlide!$A$7),($G31+BJ$3),((RiskSlide!$A$10)/260),$C31,$B31,RiskSlide!$H60)</f>
        <v>-3654.2321961694938</v>
      </c>
      <c r="BK31">
        <f>PnL(($D$7*(1+BK$2)),$E31,(RiskSlide!$A$7),($G31+BK$3),((RiskSlide!$A$10)/260),$C31,$B31,RiskSlide!$H60)</f>
        <v>-3427.8899771976739</v>
      </c>
      <c r="BL31">
        <f>PnL(($D$7*(1+BL$2)),$E31,(RiskSlide!$A$7),($G31+BL$3),((RiskSlide!$A$10)/260),$C31,$B31,RiskSlide!$H60)</f>
        <v>-3384.1879642102299</v>
      </c>
      <c r="BM31">
        <f>PnL(($D$7*(1+BM$2)),$E31,(RiskSlide!$A$7),($G31+BM$3),((RiskSlide!$A$10)/260),$C31,$B31,RiskSlide!$H60)</f>
        <v>-8969.9408807221062</v>
      </c>
      <c r="BN31">
        <f>PnL(($D$7*(1+BN$2)),$E31,(RiskSlide!$A$7),($G31+BN$3),((RiskSlide!$A$10)/260),$C31,$B31,RiskSlide!$H60)</f>
        <v>-8123.3145825473912</v>
      </c>
      <c r="BO31">
        <f>PnL(($D$7*(1+BO$2)),$E31,(RiskSlide!$A$7),($G31+BO$3),((RiskSlide!$A$10)/260),$C31,$B31,RiskSlide!$H60)</f>
        <v>-7675.9115956313854</v>
      </c>
      <c r="BP31">
        <f>PnL(($D$7*(1+BP$2)),$E31,(RiskSlide!$A$7),($G31+BP$3),((RiskSlide!$A$10)/260),$C31,$B31,RiskSlide!$H60)</f>
        <v>-7635.8501501646288</v>
      </c>
      <c r="BQ31">
        <f>PnL(($D$7*(1+BQ$2)),$E31,(RiskSlide!$A$7),($G31+BQ$3),((RiskSlide!$A$10)/260),$C31,$B31,RiskSlide!$H60)</f>
        <v>-7599.3385949073963</v>
      </c>
      <c r="BR31">
        <f>PnL(($D$7*(1+BR$2)),$E31,(RiskSlide!$A$7),($G31+BR$3),((RiskSlide!$A$10)/260),$C31,$B31,RiskSlide!$H60)</f>
        <v>-7566.339495157592</v>
      </c>
      <c r="BS31">
        <f>PnL(($D$7*(1+BS$2)),$E31,(RiskSlide!$A$7),($G31+BS$3),((RiskSlide!$A$10)/260),$C31,$B31,RiskSlide!$H60)</f>
        <v>-7536.7939297651446</v>
      </c>
      <c r="BT31">
        <f>PnL(($D$7*(1+BT$2)),$E31,(RiskSlide!$A$7),($G31+BT$3),((RiskSlide!$A$10)/260),$C31,$B31,RiskSlide!$H60)</f>
        <v>-7409.2481018719463</v>
      </c>
      <c r="BU31">
        <f>PnL(($D$7*(1+BU$2)),$E31,(RiskSlide!$A$7),($G31+BU$3),((RiskSlide!$A$10)/260),$C31,$B31,RiskSlide!$H60)</f>
        <v>-7393.3047418236811</v>
      </c>
      <c r="BV31">
        <f>PnL(($D$7*(1+BV$2)),$E31,(RiskSlide!$A$7),($G31+BV$3),((RiskSlide!$A$10)/260),$C31,$B31,RiskSlide!$H60)</f>
        <v>-39558.22009723993</v>
      </c>
      <c r="BW31">
        <f>PnL(($D$7*(1+BW$2)),$E31,(RiskSlide!$A$7),($G31+BW$3),((RiskSlide!$A$10)/260),$C31,$B31,RiskSlide!$H60)</f>
        <v>-39480.776370695152</v>
      </c>
      <c r="BX31">
        <f>PnL(($D$7*(1+BX$2)),$E31,(RiskSlide!$A$7),($G31+BX$3),((RiskSlide!$A$10)/260),$C31,$B31,RiskSlide!$H60)</f>
        <v>-39467.904083278438</v>
      </c>
      <c r="BY31">
        <f>PnL(($D$7*(1+BY$2)),$E31,(RiskSlide!$A$7),($G31+BY$3),((RiskSlide!$A$10)/260),$C31,$B31,RiskSlide!$H60)</f>
        <v>-39467.514985645525</v>
      </c>
      <c r="BZ31">
        <f>PnL(($D$7*(1+BZ$2)),$E31,(RiskSlide!$A$7),($G31+BZ$3),((RiskSlide!$A$10)/260),$C31,$B31,RiskSlide!$H60)</f>
        <v>-39467.244579065176</v>
      </c>
      <c r="CA31">
        <f>PnL(($D$7*(1+CA$2)),$E31,(RiskSlide!$A$7),($G31+CA$3),((RiskSlide!$A$10)/260),$C31,$B31,RiskSlide!$H60)</f>
        <v>-39467.062704401724</v>
      </c>
      <c r="CB31">
        <f>PnL(($D$7*(1+CB$2)),$E31,(RiskSlide!$A$7),($G31+CB$3),((RiskSlide!$A$10)/260),$C31,$B31,RiskSlide!$H60)</f>
        <v>-39466.944787921326</v>
      </c>
      <c r="CC31">
        <f>PnL(($D$7*(1+CC$2)),$E31,(RiskSlide!$A$7),($G31+CC$3),((RiskSlide!$A$10)/260),$C31,$B31,RiskSlide!$H60)</f>
        <v>-39466.779386742397</v>
      </c>
      <c r="CD31">
        <f>PnL(($D$7*(1+CD$2)),$E31,(RiskSlide!$A$7),($G31+CD$3),((RiskSlide!$A$10)/260),$C31,$B31,RiskSlide!$H60)</f>
        <v>-39466.77918093976</v>
      </c>
      <c r="CE31">
        <f>PnL(($D$7*(1+CE$2)),$E31,(RiskSlide!$A$7),($G31+CE$3),((RiskSlide!$A$10)/260),$C31,$B31,RiskSlide!$H60)</f>
        <v>-79559.316305386092</v>
      </c>
      <c r="CF31">
        <f>PnL(($D$7*(1+CF$2)),$E31,(RiskSlide!$A$7),($G31+CF$3),((RiskSlide!$A$10)/260),$C31,$B31,RiskSlide!$H60)</f>
        <v>-79558.641470859482</v>
      </c>
      <c r="CG31">
        <f>PnL(($D$7*(1+CG$2)),$E31,(RiskSlide!$A$7),($G31+CG$3),((RiskSlide!$A$10)/260),$C31,$B31,RiskSlide!$H60)</f>
        <v>-79558.629224837045</v>
      </c>
      <c r="CH31">
        <f>PnL(($D$7*(1+CH$2)),$E31,(RiskSlide!$A$7),($G31+CH$3),((RiskSlide!$A$10)/260),$C31,$B31,RiskSlide!$H60)</f>
        <v>-79558.629197625836</v>
      </c>
      <c r="CI31">
        <f>PnL(($D$7*(1+CI$2)),$E31,(RiskSlide!$A$7),($G31+CI$3),((RiskSlide!$A$10)/260),$C31,$B31,RiskSlide!$H60)</f>
        <v>-79558.629186786668</v>
      </c>
      <c r="CJ31">
        <f>PnL(($D$7*(1+CJ$2)),$E31,(RiskSlide!$A$7),($G31+CJ$3),((RiskSlide!$A$10)/260),$C31,$B31,RiskSlide!$H60)</f>
        <v>-79558.629182810066</v>
      </c>
      <c r="CK31">
        <f>PnL(($D$7*(1+CK$2)),$E31,(RiskSlide!$A$7),($G31+CK$3),((RiskSlide!$A$10)/260),$C31,$B31,RiskSlide!$H60)</f>
        <v>-79558.629181479933</v>
      </c>
      <c r="CL31">
        <f>PnL(($D$7*(1+CL$2)),$E31,(RiskSlide!$A$7),($G31+CL$3),((RiskSlide!$A$10)/260),$C31,$B31,RiskSlide!$H60)</f>
        <v>-79558.629180939795</v>
      </c>
      <c r="CM31">
        <f>PnL(($D$7*(1+CM$2)),$E31,(RiskSlide!$A$7),($G31+CM$3),((RiskSlide!$A$10)/260),$C31,$B31,RiskSlide!$H60)</f>
        <v>-79558.629180939795</v>
      </c>
    </row>
    <row r="32" spans="1:91" x14ac:dyDescent="0.25">
      <c r="A32" t="s">
        <v>27</v>
      </c>
      <c r="B32">
        <v>23</v>
      </c>
      <c r="C32">
        <v>0</v>
      </c>
      <c r="E32">
        <v>1730</v>
      </c>
      <c r="F32">
        <v>3.5000000000000001E-3</v>
      </c>
      <c r="G32">
        <v>0.17127000000000001</v>
      </c>
      <c r="K32">
        <f>PnL(($D$7*(1+K$2)),$E32,(RiskSlide!$A$7),($G32+K$3),((RiskSlide!$A$10)/260),$C32,$B32,RiskSlide!$H61)</f>
        <v>143841.74100716916</v>
      </c>
      <c r="L32">
        <f>PnL(($D$7*(1+L$2)),$E32,(RiskSlide!$A$7),($G32+L$3),((RiskSlide!$A$10)/260),$C32,$B32,RiskSlide!$H61)</f>
        <v>143615.97772356292</v>
      </c>
      <c r="M32">
        <f>PnL(($D$7*(1+M$2)),$E32,(RiskSlide!$A$7),($G32+M$3),((RiskSlide!$A$10)/260),$C32,$B32,RiskSlide!$H61)</f>
        <v>143574.56465130436</v>
      </c>
      <c r="N32">
        <f>PnL(($D$7*(1+N$2)),$E32,(RiskSlide!$A$7),($G32+N$3),((RiskSlide!$A$10)/260),$C32,$B32,RiskSlide!$H61)</f>
        <v>143573.17942754089</v>
      </c>
      <c r="O32">
        <f>PnL(($D$7*(1+O$2)),$E32,(RiskSlide!$A$7),($G32+O$3),((RiskSlide!$A$10)/260),$C32,$B32,RiskSlide!$H61)</f>
        <v>143572.19359294689</v>
      </c>
      <c r="P32">
        <f>PnL(($D$7*(1+P$2)),$E32,(RiskSlide!$A$7),($G32+P$3),((RiskSlide!$A$10)/260),$C32,$B32,RiskSlide!$H61)</f>
        <v>143571.51312267716</v>
      </c>
      <c r="Q32">
        <f>PnL(($D$7*(1+Q$2)),$E32,(RiskSlide!$A$7),($G32+Q$3),((RiskSlide!$A$10)/260),$C32,$B32,RiskSlide!$H61)</f>
        <v>143571.0592861762</v>
      </c>
      <c r="R32">
        <f>PnL(($D$7*(1+R$2)),$E32,(RiskSlide!$A$7),($G32+R$3),((RiskSlide!$A$10)/260),$C32,$B32,RiskSlide!$H61)</f>
        <v>143570.37401667252</v>
      </c>
      <c r="S32">
        <f>PnL(($D$7*(1+S$2)),$E32,(RiskSlide!$A$7),($G32+S$3),((RiskSlide!$A$10)/260),$C32,$B32,RiskSlide!$H61)</f>
        <v>143570.37275679235</v>
      </c>
      <c r="T32">
        <f>PnL(($D$7*(1+T$2)),$E32,(RiskSlide!$A$7),($G32+T$3),((RiskSlide!$A$10)/260),$C32,$B32,RiskSlide!$H61)</f>
        <v>51485.717349267645</v>
      </c>
      <c r="U32">
        <f>PnL(($D$7*(1+U$2)),$E32,(RiskSlide!$A$7),($G32+U$3),((RiskSlide!$A$10)/260),$C32,$B32,RiskSlide!$H61)</f>
        <v>47711.604489312718</v>
      </c>
      <c r="V32">
        <f>PnL(($D$7*(1+V$2)),$E32,(RiskSlide!$A$7),($G32+V$3),((RiskSlide!$A$10)/260),$C32,$B32,RiskSlide!$H61)</f>
        <v>45049.942729895432</v>
      </c>
      <c r="W32">
        <f>PnL(($D$7*(1+W$2)),$E32,(RiskSlide!$A$7),($G32+W$3),((RiskSlide!$A$10)/260),$C32,$B32,RiskSlide!$H61)</f>
        <v>44748.400017079919</v>
      </c>
      <c r="X32">
        <f>PnL(($D$7*(1+X$2)),$E32,(RiskSlide!$A$7),($G32+X$3),((RiskSlide!$A$10)/260),$C32,$B32,RiskSlide!$H61)</f>
        <v>44455.17288919523</v>
      </c>
      <c r="Y32">
        <f>PnL(($D$7*(1+Y$2)),$E32,(RiskSlide!$A$7),($G32+Y$3),((RiskSlide!$A$10)/260),$C32,$B32,RiskSlide!$H61)</f>
        <v>44170.750374304866</v>
      </c>
      <c r="Z32">
        <f>PnL(($D$7*(1+Z$2)),$E32,(RiskSlide!$A$7),($G32+Z$3),((RiskSlide!$A$10)/260),$C32,$B32,RiskSlide!$H61)</f>
        <v>43895.649140740388</v>
      </c>
      <c r="AA32">
        <f>PnL(($D$7*(1+AA$2)),$E32,(RiskSlide!$A$7),($G32+AA$3),((RiskSlide!$A$10)/260),$C32,$B32,RiskSlide!$H61)</f>
        <v>42100.340744477297</v>
      </c>
      <c r="AB32">
        <f>PnL(($D$7*(1+AB$2)),$E32,(RiskSlide!$A$7),($G32+AB$3),((RiskSlide!$A$10)/260),$C32,$B32,RiskSlide!$H61)</f>
        <v>41153.454916563263</v>
      </c>
      <c r="AC32">
        <f>PnL(($D$7*(1+AC$2)),$E32,(RiskSlide!$A$7),($G32+AC$3),((RiskSlide!$A$10)/260),$C32,$B32,RiskSlide!$H61)</f>
        <v>10164.355272837367</v>
      </c>
      <c r="AD32">
        <f>PnL(($D$7*(1+AD$2)),$E32,(RiskSlide!$A$7),($G32+AD$3),((RiskSlide!$A$10)/260),$C32,$B32,RiskSlide!$H61)</f>
        <v>6121.5464805656966</v>
      </c>
      <c r="AE32">
        <f>PnL(($D$7*(1+AE$2)),$E32,(RiskSlide!$A$7),($G32+AE$3),((RiskSlide!$A$10)/260),$C32,$B32,RiskSlide!$H61)</f>
        <v>3201.6940547393842</v>
      </c>
      <c r="AF32">
        <f>PnL(($D$7*(1+AF$2)),$E32,(RiskSlide!$A$7),($G32+AF$3),((RiskSlide!$A$10)/260),$C32,$B32,RiskSlide!$H61)</f>
        <v>2864.6310978474658</v>
      </c>
      <c r="AG32">
        <f>PnL(($D$7*(1+AG$2)),$E32,(RiskSlide!$A$7),($G32+AG$3),((RiskSlide!$A$10)/260),$C32,$B32,RiskSlide!$H61)</f>
        <v>2535.1226124315262</v>
      </c>
      <c r="AH32">
        <f>PnL(($D$7*(1+AH$2)),$E32,(RiskSlide!$A$7),($G32+AH$3),((RiskSlide!$A$10)/260),$C32,$B32,RiskSlide!$H61)</f>
        <v>2213.657309881411</v>
      </c>
      <c r="AI32">
        <f>PnL(($D$7*(1+AI$2)),$E32,(RiskSlide!$A$7),($G32+AI$3),((RiskSlide!$A$10)/260),$C32,$B32,RiskSlide!$H61)</f>
        <v>1900.7588329384803</v>
      </c>
      <c r="AJ32">
        <f>PnL(($D$7*(1+AJ$2)),$E32,(RiskSlide!$A$7),($G32+AJ$3),((RiskSlide!$A$10)/260),$C32,$B32,RiskSlide!$H61)</f>
        <v>-218.89327559023144</v>
      </c>
      <c r="AK32">
        <f>PnL(($D$7*(1+AK$2)),$E32,(RiskSlide!$A$7),($G32+AK$3),((RiskSlide!$A$10)/260),$C32,$B32,RiskSlide!$H61)</f>
        <v>-1513.1512177162645</v>
      </c>
      <c r="AL32">
        <f>PnL(($D$7*(1+AL$2)),$E32,(RiskSlide!$A$7),($G32+AL$3),((RiskSlide!$A$10)/260),$C32,$B32,RiskSlide!$H61)</f>
        <v>7594.3434952280468</v>
      </c>
      <c r="AM32">
        <f>PnL(($D$7*(1+AM$2)),$E32,(RiskSlide!$A$7),($G32+AM$3),((RiskSlide!$A$10)/260),$C32,$B32,RiskSlide!$H61)</f>
        <v>3999.2767504862641</v>
      </c>
      <c r="AN32">
        <f>PnL(($D$7*(1+AN$2)),$E32,(RiskSlide!$A$7),($G32+AN$3),((RiskSlide!$A$10)/260),$C32,$B32,RiskSlide!$H61)</f>
        <v>1552.150193511153</v>
      </c>
      <c r="AO32">
        <f>PnL(($D$7*(1+AO$2)),$E32,(RiskSlide!$A$7),($G32+AO$3),((RiskSlide!$A$10)/260),$C32,$B32,RiskSlide!$H61)</f>
        <v>1282.5999981572495</v>
      </c>
      <c r="AP32">
        <f>PnL(($D$7*(1+AP$2)),$E32,(RiskSlide!$A$7),($G32+AP$3),((RiskSlide!$A$10)/260),$C32,$B32,RiskSlide!$H61)</f>
        <v>1022.5449743220806</v>
      </c>
      <c r="AQ32">
        <f>PnL(($D$7*(1+AQ$2)),$E32,(RiskSlide!$A$7),($G32+AQ$3),((RiskSlide!$A$10)/260),$C32,$B32,RiskSlide!$H61)</f>
        <v>772.4608296460417</v>
      </c>
      <c r="AR32">
        <f>PnL(($D$7*(1+AR$2)),$E32,(RiskSlide!$A$7),($G32+AR$3),((RiskSlide!$A$10)/260),$C32,$B32,RiskSlide!$H61)</f>
        <v>532.83793648062806</v>
      </c>
      <c r="AS32">
        <f>PnL(($D$7*(1+AS$2)),$E32,(RiskSlide!$A$7),($G32+AS$3),((RiskSlide!$A$10)/260),$C32,$B32,RiskSlide!$H61)</f>
        <v>-947.81593232976456</v>
      </c>
      <c r="AT32">
        <f>PnL(($D$7*(1+AT$2)),$E32,(RiskSlide!$A$7),($G32+AT$3),((RiskSlide!$A$10)/260),$C32,$B32,RiskSlide!$H61)</f>
        <v>-1582.9288491750644</v>
      </c>
      <c r="AU32">
        <f>PnL(($D$7*(1+AU$2)),$E32,(RiskSlide!$A$7),($G32+AU$3),((RiskSlide!$A$10)/260),$C32,$B32,RiskSlide!$H61)</f>
        <v>5485.7529330960588</v>
      </c>
      <c r="AV32">
        <f>PnL(($D$7*(1+AV$2)),$E32,(RiskSlide!$A$7),($G32+AV$3),((RiskSlide!$A$10)/260),$C32,$B32,RiskSlide!$H61)</f>
        <v>2371.8787056608462</v>
      </c>
      <c r="AW32">
        <f>PnL(($D$7*(1+AW$2)),$E32,(RiskSlide!$A$7),($G32+AW$3),((RiskSlide!$A$10)/260),$C32,$B32,RiskSlide!$H61)</f>
        <v>399.67047474260795</v>
      </c>
      <c r="AX32">
        <f>PnL(($D$7*(1+AX$2)),$E32,(RiskSlide!$A$7),($G32+AX$3),((RiskSlide!$A$10)/260),$C32,$B32,RiskSlide!$H61)</f>
        <v>194.64306340599933</v>
      </c>
      <c r="AY32">
        <f>PnL(($D$7*(1+AY$2)),$E32,(RiskSlide!$A$7),($G32+AY$3),((RiskSlide!$A$10)/260),$C32,$B32,RiskSlide!$H61)</f>
        <v>0</v>
      </c>
      <c r="AZ32">
        <f>PnL(($D$7*(1+AZ$2)),$E32,(RiskSlide!$A$7),($G32+AZ$3),((RiskSlide!$A$10)/260),$C32,$B32,RiskSlide!$H61)</f>
        <v>-183.92063260783971</v>
      </c>
      <c r="BA32">
        <f>PnL(($D$7*(1+BA$2)),$E32,(RiskSlide!$A$7),($G32+BA$3),((RiskSlide!$A$10)/260),$C32,$B32,RiskSlide!$H61)</f>
        <v>-356.79648089184252</v>
      </c>
      <c r="BB32">
        <f>PnL(($D$7*(1+BB$2)),$E32,(RiskSlide!$A$7),($G32+BB$3),((RiskSlide!$A$10)/260),$C32,$B32,RiskSlide!$H61)</f>
        <v>-1315.9934680643396</v>
      </c>
      <c r="BC32">
        <f>PnL(($D$7*(1+BC$2)),$E32,(RiskSlide!$A$7),($G32+BC$3),((RiskSlide!$A$10)/260),$C32,$B32,RiskSlide!$H61)</f>
        <v>-1595.5073162379815</v>
      </c>
      <c r="BD32">
        <f>PnL(($D$7*(1+BD$2)),$E32,(RiskSlide!$A$7),($G32+BD$3),((RiskSlide!$A$10)/260),$C32,$B32,RiskSlide!$H61)</f>
        <v>3783.571145946742</v>
      </c>
      <c r="BE32">
        <f>PnL(($D$7*(1+BE$2)),$E32,(RiskSlide!$A$7),($G32+BE$3),((RiskSlide!$A$10)/260),$C32,$B32,RiskSlide!$H61)</f>
        <v>1155.0709170599816</v>
      </c>
      <c r="BF32">
        <f>PnL(($D$7*(1+BF$2)),$E32,(RiskSlide!$A$7),($G32+BF$3),((RiskSlide!$A$10)/260),$C32,$B32,RiskSlide!$H61)</f>
        <v>-374.80137383750076</v>
      </c>
      <c r="BG32">
        <f>PnL(($D$7*(1+BG$2)),$E32,(RiskSlide!$A$7),($G32+BG$3),((RiskSlide!$A$10)/260),$C32,$B32,RiskSlide!$H61)</f>
        <v>-523.24457007013905</v>
      </c>
      <c r="BH32">
        <f>PnL(($D$7*(1+BH$2)),$E32,(RiskSlide!$A$7),($G32+BH$3),((RiskSlide!$A$10)/260),$C32,$B32,RiskSlide!$H61)</f>
        <v>-661.51842836087985</v>
      </c>
      <c r="BI32">
        <f>PnL(($D$7*(1+BI$2)),$E32,(RiskSlide!$A$7),($G32+BI$3),((RiskSlide!$A$10)/260),$C32,$B32,RiskSlide!$H61)</f>
        <v>-789.49819726545559</v>
      </c>
      <c r="BJ32">
        <f>PnL(($D$7*(1+BJ$2)),$E32,(RiskSlide!$A$7),($G32+BJ$3),((RiskSlide!$A$10)/260),$C32,$B32,RiskSlide!$H61)</f>
        <v>-907.10160978920408</v>
      </c>
      <c r="BK32">
        <f>PnL(($D$7*(1+BK$2)),$E32,(RiskSlide!$A$7),($G32+BK$3),((RiskSlide!$A$10)/260),$C32,$B32,RiskSlide!$H61)</f>
        <v>-1485.5317249395005</v>
      </c>
      <c r="BL32">
        <f>PnL(($D$7*(1+BL$2)),$E32,(RiskSlide!$A$7),($G32+BL$3),((RiskSlide!$A$10)/260),$C32,$B32,RiskSlide!$H61)</f>
        <v>-1597.2146470185369</v>
      </c>
      <c r="BM32">
        <f>PnL(($D$7*(1+BM$2)),$E32,(RiskSlide!$A$7),($G32+BM$3),((RiskSlide!$A$10)/260),$C32,$B32,RiskSlide!$H61)</f>
        <v>2431.7922507339731</v>
      </c>
      <c r="BN32">
        <f>PnL(($D$7*(1+BN$2)),$E32,(RiskSlide!$A$7),($G32+BN$3),((RiskSlide!$A$10)/260),$C32,$B32,RiskSlide!$H61)</f>
        <v>268.19171095388441</v>
      </c>
      <c r="BO32">
        <f>PnL(($D$7*(1+BO$2)),$E32,(RiskSlide!$A$7),($G32+BO$3),((RiskSlide!$A$10)/260),$C32,$B32,RiskSlide!$H61)</f>
        <v>-875.17147783120345</v>
      </c>
      <c r="BP32">
        <f>PnL(($D$7*(1+BP$2)),$E32,(RiskSlide!$A$7),($G32+BP$3),((RiskSlide!$A$10)/260),$C32,$B32,RiskSlide!$H61)</f>
        <v>-977.55072735754607</v>
      </c>
      <c r="BQ32">
        <f>PnL(($D$7*(1+BQ$2)),$E32,(RiskSlide!$A$7),($G32+BQ$3),((RiskSlide!$A$10)/260),$C32,$B32,RiskSlide!$H61)</f>
        <v>-1070.8580352371143</v>
      </c>
      <c r="BR32">
        <f>PnL(($D$7*(1+BR$2)),$E32,(RiskSlide!$A$7),($G32+BR$3),((RiskSlide!$A$10)/260),$C32,$B32,RiskSlide!$H61)</f>
        <v>-1155.1890679310425</v>
      </c>
      <c r="BS32">
        <f>PnL(($D$7*(1+BS$2)),$E32,(RiskSlide!$A$7),($G32+BS$3),((RiskSlide!$A$10)/260),$C32,$B32,RiskSlide!$H61)</f>
        <v>-1230.6944017114809</v>
      </c>
      <c r="BT32">
        <f>PnL(($D$7*(1+BT$2)),$E32,(RiskSlide!$A$7),($G32+BT$3),((RiskSlide!$A$10)/260),$C32,$B32,RiskSlide!$H61)</f>
        <v>-1556.6448507718703</v>
      </c>
      <c r="BU32">
        <f>PnL(($D$7*(1+BU$2)),$E32,(RiskSlide!$A$7),($G32+BU$3),((RiskSlide!$A$10)/260),$C32,$B32,RiskSlide!$H61)</f>
        <v>-1597.3889931176616</v>
      </c>
      <c r="BV32">
        <f>PnL(($D$7*(1+BV$2)),$E32,(RiskSlide!$A$7),($G32+BV$3),((RiskSlide!$A$10)/260),$C32,$B32,RiskSlide!$H61)</f>
        <v>-1363.720862609531</v>
      </c>
      <c r="BW32">
        <f>PnL(($D$7*(1+BW$2)),$E32,(RiskSlide!$A$7),($G32+BW$3),((RiskSlide!$A$10)/260),$C32,$B32,RiskSlide!$H61)</f>
        <v>-1561.6326082238934</v>
      </c>
      <c r="BX32">
        <f>PnL(($D$7*(1+BX$2)),$E32,(RiskSlide!$A$7),($G32+BX$3),((RiskSlide!$A$10)/260),$C32,$B32,RiskSlide!$H61)</f>
        <v>-1594.5284538444821</v>
      </c>
      <c r="BY32">
        <f>PnL(($D$7*(1+BY$2)),$E32,(RiskSlide!$A$7),($G32+BY$3),((RiskSlide!$A$10)/260),$C32,$B32,RiskSlide!$H61)</f>
        <v>-1595.5228144618802</v>
      </c>
      <c r="BZ32">
        <f>PnL(($D$7*(1+BZ$2)),$E32,(RiskSlide!$A$7),($G32+BZ$3),((RiskSlide!$A$10)/260),$C32,$B32,RiskSlide!$H61)</f>
        <v>-1596.2138535004715</v>
      </c>
      <c r="CA32">
        <f>PnL(($D$7*(1+CA$2)),$E32,(RiskSlide!$A$7),($G32+CA$3),((RiskSlide!$A$10)/260),$C32,$B32,RiskSlide!$H61)</f>
        <v>-1596.6786443072717</v>
      </c>
      <c r="CB32">
        <f>PnL(($D$7*(1+CB$2)),$E32,(RiskSlide!$A$7),($G32+CB$3),((RiskSlide!$A$10)/260),$C32,$B32,RiskSlide!$H61)</f>
        <v>-1596.979986423773</v>
      </c>
      <c r="CC32">
        <f>PnL(($D$7*(1+CC$2)),$E32,(RiskSlide!$A$7),($G32+CC$3),((RiskSlide!$A$10)/260),$C32,$B32,RiskSlide!$H61)</f>
        <v>-1597.4026783251243</v>
      </c>
      <c r="CD32">
        <f>PnL(($D$7*(1+CD$2)),$E32,(RiskSlide!$A$7),($G32+CD$3),((RiskSlide!$A$10)/260),$C32,$B32,RiskSlide!$H61)</f>
        <v>-1597.4032042654344</v>
      </c>
      <c r="CE32">
        <f>PnL(($D$7*(1+CE$2)),$E32,(RiskSlide!$A$7),($G32+CE$3),((RiskSlide!$A$10)/260),$C32,$B32,RiskSlide!$H61)</f>
        <v>-1595.647219569217</v>
      </c>
      <c r="CF32">
        <f>PnL(($D$7*(1+CF$2)),$E32,(RiskSlide!$A$7),($G32+CF$3),((RiskSlide!$A$10)/260),$C32,$B32,RiskSlide!$H61)</f>
        <v>-1597.3717966929464</v>
      </c>
      <c r="CG32">
        <f>PnL(($D$7*(1+CG$2)),$E32,(RiskSlide!$A$7),($G32+CG$3),((RiskSlide!$A$10)/260),$C32,$B32,RiskSlide!$H61)</f>
        <v>-1597.4030920837149</v>
      </c>
      <c r="CH32">
        <f>PnL(($D$7*(1+CH$2)),$E32,(RiskSlide!$A$7),($G32+CH$3),((RiskSlide!$A$10)/260),$C32,$B32,RiskSlide!$H61)</f>
        <v>-1597.4031616236102</v>
      </c>
      <c r="CI32">
        <f>PnL(($D$7*(1+CI$2)),$E32,(RiskSlide!$A$7),($G32+CI$3),((RiskSlide!$A$10)/260),$C32,$B32,RiskSlide!$H61)</f>
        <v>-1597.4031893235099</v>
      </c>
      <c r="CJ32">
        <f>PnL(($D$7*(1+CJ$2)),$E32,(RiskSlide!$A$7),($G32+CJ$3),((RiskSlide!$A$10)/260),$C32,$B32,RiskSlide!$H61)</f>
        <v>-1597.4031994858615</v>
      </c>
      <c r="CK32">
        <f>PnL(($D$7*(1+CK$2)),$E32,(RiskSlide!$A$7),($G32+CK$3),((RiskSlide!$A$10)/260),$C32,$B32,RiskSlide!$H61)</f>
        <v>-1597.4032028854494</v>
      </c>
      <c r="CL32">
        <f>PnL(($D$7*(1+CL$2)),$E32,(RiskSlide!$A$7),($G32+CL$3),((RiskSlide!$A$10)/260),$C32,$B32,RiskSlide!$H61)</f>
        <v>-1597.4032042654342</v>
      </c>
      <c r="CM32">
        <f>PnL(($D$7*(1+CM$2)),$E32,(RiskSlide!$A$7),($G32+CM$3),((RiskSlide!$A$10)/260),$C32,$B32,RiskSlide!$H61)</f>
        <v>-1597.4032042654344</v>
      </c>
    </row>
    <row r="33" spans="1:91" x14ac:dyDescent="0.25">
      <c r="A33" t="s">
        <v>28</v>
      </c>
      <c r="B33">
        <v>5</v>
      </c>
      <c r="C33">
        <v>0</v>
      </c>
      <c r="E33">
        <v>1735</v>
      </c>
      <c r="F33">
        <v>3.5000000000000001E-3</v>
      </c>
      <c r="G33">
        <v>0.16650400000000001</v>
      </c>
      <c r="K33">
        <f>PnL(($D$7*(1+K$2)),$E33,(RiskSlide!$A$7),($G33+K$3),((RiskSlide!$A$10)/260),$C33,$B33,RiskSlide!$H62)</f>
        <v>32428.586018151578</v>
      </c>
      <c r="L33">
        <f>PnL(($D$7*(1+L$2)),$E33,(RiskSlide!$A$7),($G33+L$3),((RiskSlide!$A$10)/260),$C33,$B33,RiskSlide!$H62)</f>
        <v>32394.195411051784</v>
      </c>
      <c r="M33">
        <f>PnL(($D$7*(1+M$2)),$E33,(RiskSlide!$A$7),($G33+M$3),((RiskSlide!$A$10)/260),$C33,$B33,RiskSlide!$H62)</f>
        <v>32389.07700929491</v>
      </c>
      <c r="N33">
        <f>PnL(($D$7*(1+N$2)),$E33,(RiskSlide!$A$7),($G33+N$3),((RiskSlide!$A$10)/260),$C33,$B33,RiskSlide!$H62)</f>
        <v>32388.941668332223</v>
      </c>
      <c r="O33">
        <f>PnL(($D$7*(1+O$2)),$E33,(RiskSlide!$A$7),($G33+O$3),((RiskSlide!$A$10)/260),$C33,$B33,RiskSlide!$H62)</f>
        <v>32388.850744144635</v>
      </c>
      <c r="P33">
        <f>PnL(($D$7*(1+P$2)),$E33,(RiskSlide!$A$7),($G33+P$3),((RiskSlide!$A$10)/260),$C33,$B33,RiskSlide!$H62)</f>
        <v>32388.791866086136</v>
      </c>
      <c r="Q33">
        <f>PnL(($D$7*(1+Q$2)),$E33,(RiskSlide!$A$7),($G33+Q$3),((RiskSlide!$A$10)/260),$C33,$B33,RiskSlide!$H62)</f>
        <v>32388.755287560798</v>
      </c>
      <c r="R33">
        <f>PnL(($D$7*(1+R$2)),$E33,(RiskSlide!$A$7),($G33+R$3),((RiskSlide!$A$10)/260),$C33,$B33,RiskSlide!$H62)</f>
        <v>32388.709432215761</v>
      </c>
      <c r="S33">
        <f>PnL(($D$7*(1+S$2)),$E33,(RiskSlide!$A$7),($G33+S$3),((RiskSlide!$A$10)/260),$C33,$B33,RiskSlide!$H62)</f>
        <v>32388.709404928479</v>
      </c>
      <c r="T33">
        <f>PnL(($D$7*(1+T$2)),$E33,(RiskSlide!$A$7),($G33+T$3),((RiskSlide!$A$10)/260),$C33,$B33,RiskSlide!$H62)</f>
        <v>11992.656368984059</v>
      </c>
      <c r="U33">
        <f>PnL(($D$7*(1+U$2)),$E33,(RiskSlide!$A$7),($G33+U$3),((RiskSlide!$A$10)/260),$C33,$B33,RiskSlide!$H62)</f>
        <v>11238.070963526468</v>
      </c>
      <c r="V33">
        <f>PnL(($D$7*(1+V$2)),$E33,(RiskSlide!$A$7),($G33+V$3),((RiskSlide!$A$10)/260),$C33,$B33,RiskSlide!$H62)</f>
        <v>10730.107358603562</v>
      </c>
      <c r="W33">
        <f>PnL(($D$7*(1+W$2)),$E33,(RiskSlide!$A$7),($G33+W$3),((RiskSlide!$A$10)/260),$C33,$B33,RiskSlide!$H62)</f>
        <v>10674.723770035769</v>
      </c>
      <c r="X33">
        <f>PnL(($D$7*(1+X$2)),$E33,(RiskSlide!$A$7),($G33+X$3),((RiskSlide!$A$10)/260),$C33,$B33,RiskSlide!$H62)</f>
        <v>10621.457083249823</v>
      </c>
      <c r="Y33">
        <f>PnL(($D$7*(1+Y$2)),$E33,(RiskSlide!$A$7),($G33+Y$3),((RiskSlide!$A$10)/260),$C33,$B33,RiskSlide!$H62)</f>
        <v>10570.411428024216</v>
      </c>
      <c r="Z33">
        <f>PnL(($D$7*(1+Z$2)),$E33,(RiskSlide!$A$7),($G33+Z$3),((RiskSlide!$A$10)/260),$C33,$B33,RiskSlide!$H62)</f>
        <v>10521.693396904311</v>
      </c>
      <c r="AA33">
        <f>PnL(($D$7*(1+AA$2)),$E33,(RiskSlide!$A$7),($G33+AA$3),((RiskSlide!$A$10)/260),$C33,$B33,RiskSlide!$H62)</f>
        <v>10228.235145599285</v>
      </c>
      <c r="AB33">
        <f>PnL(($D$7*(1+AB$2)),$E33,(RiskSlide!$A$7),($G33+AB$3),((RiskSlide!$A$10)/260),$C33,$B33,RiskSlide!$H62)</f>
        <v>10116.903817425055</v>
      </c>
      <c r="AC33">
        <f>PnL(($D$7*(1+AC$2)),$E33,(RiskSlide!$A$7),($G33+AC$3),((RiskSlide!$A$10)/260),$C33,$B33,RiskSlide!$H62)</f>
        <v>2422.9564090812232</v>
      </c>
      <c r="AD33">
        <f>PnL(($D$7*(1+AD$2)),$E33,(RiskSlide!$A$7),($G33+AD$3),((RiskSlide!$A$10)/260),$C33,$B33,RiskSlide!$H62)</f>
        <v>1497.3279078211021</v>
      </c>
      <c r="AE33">
        <f>PnL(($D$7*(1+AE$2)),$E33,(RiskSlide!$A$7),($G33+AE$3),((RiskSlide!$A$10)/260),$C33,$B33,RiskSlide!$H62)</f>
        <v>813.3534497915349</v>
      </c>
      <c r="AF33">
        <f>PnL(($D$7*(1+AF$2)),$E33,(RiskSlide!$A$7),($G33+AF$3),((RiskSlide!$A$10)/260),$C33,$B33,RiskSlide!$H62)</f>
        <v>733.01656971331397</v>
      </c>
      <c r="AG33">
        <f>PnL(($D$7*(1+AG$2)),$E33,(RiskSlide!$A$7),($G33+AG$3),((RiskSlide!$A$10)/260),$C33,$B33,RiskSlide!$H62)</f>
        <v>654.10320267980637</v>
      </c>
      <c r="AH33">
        <f>PnL(($D$7*(1+AH$2)),$E33,(RiskSlide!$A$7),($G33+AH$3),((RiskSlide!$A$10)/260),$C33,$B33,RiskSlide!$H62)</f>
        <v>576.71673598032669</v>
      </c>
      <c r="AI33">
        <f>PnL(($D$7*(1+AI$2)),$E33,(RiskSlide!$A$7),($G33+AI$3),((RiskSlide!$A$10)/260),$C33,$B33,RiskSlide!$H62)</f>
        <v>500.96960755531939</v>
      </c>
      <c r="AJ33">
        <f>PnL(($D$7*(1+AJ$2)),$E33,(RiskSlide!$A$7),($G33+AJ$3),((RiskSlide!$A$10)/260),$C33,$B33,RiskSlide!$H62)</f>
        <v>-28.899043859503593</v>
      </c>
      <c r="AK33">
        <f>PnL(($D$7*(1+AK$2)),$E33,(RiskSlide!$A$7),($G33+AK$3),((RiskSlide!$A$10)/260),$C33,$B33,RiskSlide!$H62)</f>
        <v>-390.32436117379808</v>
      </c>
      <c r="AL33">
        <f>PnL(($D$7*(1+AL$2)),$E33,(RiskSlide!$A$7),($G33+AL$3),((RiskSlide!$A$10)/260),$C33,$B33,RiskSlide!$H62)</f>
        <v>1809.1538624096729</v>
      </c>
      <c r="AM33">
        <f>PnL(($D$7*(1+AM$2)),$E33,(RiskSlide!$A$7),($G33+AM$3),((RiskSlide!$A$10)/260),$C33,$B33,RiskSlide!$H62)</f>
        <v>976.58847517607228</v>
      </c>
      <c r="AN33">
        <f>PnL(($D$7*(1+AN$2)),$E33,(RiskSlide!$A$7),($G33+AN$3),((RiskSlide!$A$10)/260),$C33,$B33,RiskSlide!$H62)</f>
        <v>394.35425788506961</v>
      </c>
      <c r="AO33">
        <f>PnL(($D$7*(1+AO$2)),$E33,(RiskSlide!$A$7),($G33+AO$3),((RiskSlide!$A$10)/260),$C33,$B33,RiskSlide!$H62)</f>
        <v>328.89877614717022</v>
      </c>
      <c r="AP33">
        <f>PnL(($D$7*(1+AP$2)),$E33,(RiskSlide!$A$7),($G33+AP$3),((RiskSlide!$A$10)/260),$C33,$B33,RiskSlide!$H62)</f>
        <v>265.39875219980047</v>
      </c>
      <c r="AQ33">
        <f>PnL(($D$7*(1+AQ$2)),$E33,(RiskSlide!$A$7),($G33+AQ$3),((RiskSlide!$A$10)/260),$C33,$B33,RiskSlide!$H62)</f>
        <v>203.96902412193185</v>
      </c>
      <c r="AR33">
        <f>PnL(($D$7*(1+AR$2)),$E33,(RiskSlide!$A$7),($G33+AR$3),((RiskSlide!$A$10)/260),$C33,$B33,RiskSlide!$H62)</f>
        <v>144.73054137157249</v>
      </c>
      <c r="AS33">
        <f>PnL(($D$7*(1+AS$2)),$E33,(RiskSlide!$A$7),($G33+AS$3),((RiskSlide!$A$10)/260),$C33,$B33,RiskSlide!$H62)</f>
        <v>-234.21655947826991</v>
      </c>
      <c r="AT33">
        <f>PnL(($D$7*(1+AT$2)),$E33,(RiskSlide!$A$7),($G33+AT$3),((RiskSlide!$A$10)/260),$C33,$B33,RiskSlide!$H62)</f>
        <v>-414.62015186204803</v>
      </c>
      <c r="AU33">
        <f>PnL(($D$7*(1+AU$2)),$E33,(RiskSlide!$A$7),($G33+AU$3),((RiskSlide!$A$10)/260),$C33,$B33,RiskSlide!$H62)</f>
        <v>1302.9770573887731</v>
      </c>
      <c r="AV33">
        <f>PnL(($D$7*(1+AV$2)),$E33,(RiskSlide!$A$7),($G33+AV$3),((RiskSlide!$A$10)/260),$C33,$B33,RiskSlide!$H62)</f>
        <v>574.44476186370252</v>
      </c>
      <c r="AW33">
        <f>PnL(($D$7*(1+AW$2)),$E33,(RiskSlide!$A$7),($G33+AW$3),((RiskSlide!$A$10)/260),$C33,$B33,RiskSlide!$H62)</f>
        <v>98.879685445801613</v>
      </c>
      <c r="AX33">
        <f>PnL(($D$7*(1+AX$2)),$E33,(RiskSlide!$A$7),($G33+AX$3),((RiskSlide!$A$10)/260),$C33,$B33,RiskSlide!$H62)</f>
        <v>48.303831413029741</v>
      </c>
      <c r="AY33">
        <f>PnL(($D$7*(1+AY$2)),$E33,(RiskSlide!$A$7),($G33+AY$3),((RiskSlide!$A$10)/260),$C33,$B33,RiskSlide!$H62)</f>
        <v>0</v>
      </c>
      <c r="AZ33">
        <f>PnL(($D$7*(1+AZ$2)),$E33,(RiskSlide!$A$7),($G33+AZ$3),((RiskSlide!$A$10)/260),$C33,$B33,RiskSlide!$H62)</f>
        <v>-45.937430946928259</v>
      </c>
      <c r="BA33">
        <f>PnL(($D$7*(1+BA$2)),$E33,(RiskSlide!$A$7),($G33+BA$3),((RiskSlide!$A$10)/260),$C33,$B33,RiskSlide!$H62)</f>
        <v>-89.414673811774037</v>
      </c>
      <c r="BB33">
        <f>PnL(($D$7*(1+BB$2)),$E33,(RiskSlide!$A$7),($G33+BB$3),((RiskSlide!$A$10)/260),$C33,$B33,RiskSlide!$H62)</f>
        <v>-339.14857599848602</v>
      </c>
      <c r="BC33">
        <f>PnL(($D$7*(1+BC$2)),$E33,(RiskSlide!$A$7),($G33+BC$3),((RiskSlide!$A$10)/260),$C33,$B33,RiskSlide!$H62)</f>
        <v>-418.85102711593453</v>
      </c>
      <c r="BD33">
        <f>PnL(($D$7*(1+BD$2)),$E33,(RiskSlide!$A$7),($G33+BD$3),((RiskSlide!$A$10)/260),$C33,$B33,RiskSlide!$H62)</f>
        <v>892.44162776363112</v>
      </c>
      <c r="BE33">
        <f>PnL(($D$7*(1+BE$2)),$E33,(RiskSlide!$A$7),($G33+BE$3),((RiskSlide!$A$10)/260),$C33,$B33,RiskSlide!$H62)</f>
        <v>271.88862774824685</v>
      </c>
      <c r="BF33">
        <f>PnL(($D$7*(1+BF$2)),$E33,(RiskSlide!$A$7),($G33+BF$3),((RiskSlide!$A$10)/260),$C33,$B33,RiskSlide!$H62)</f>
        <v>-101.19093168898985</v>
      </c>
      <c r="BG33">
        <f>PnL(($D$7*(1+BG$2)),$E33,(RiskSlide!$A$7),($G33+BG$3),((RiskSlide!$A$10)/260),$C33,$B33,RiskSlide!$H62)</f>
        <v>-138.28104355518533</v>
      </c>
      <c r="BH33">
        <f>PnL(($D$7*(1+BH$2)),$E33,(RiskSlide!$A$7),($G33+BH$3),((RiskSlide!$A$10)/260),$C33,$B33,RiskSlide!$H62)</f>
        <v>-173.04642275386684</v>
      </c>
      <c r="BI33">
        <f>PnL(($D$7*(1+BI$2)),$E33,(RiskSlide!$A$7),($G33+BI$3),((RiskSlide!$A$10)/260),$C33,$B33,RiskSlide!$H62)</f>
        <v>-205.43758777816734</v>
      </c>
      <c r="BJ33">
        <f>PnL(($D$7*(1+BJ$2)),$E33,(RiskSlide!$A$7),($G33+BJ$3),((RiskSlide!$A$10)/260),$C33,$B33,RiskSlide!$H62)</f>
        <v>-235.41291578339596</v>
      </c>
      <c r="BK33">
        <f>PnL(($D$7*(1+BK$2)),$E33,(RiskSlide!$A$7),($G33+BK$3),((RiskSlide!$A$10)/260),$C33,$B33,RiskSlide!$H62)</f>
        <v>-387.70244649322728</v>
      </c>
      <c r="BL33">
        <f>PnL(($D$7*(1+BL$2)),$E33,(RiskSlide!$A$7),($G33+BL$3),((RiskSlide!$A$10)/260),$C33,$B33,RiskSlide!$H62)</f>
        <v>-419.38372597419516</v>
      </c>
      <c r="BM33">
        <f>PnL(($D$7*(1+BM$2)),$E33,(RiskSlide!$A$7),($G33+BM$3),((RiskSlide!$A$10)/260),$C33,$B33,RiskSlide!$H62)</f>
        <v>565.03523459444693</v>
      </c>
      <c r="BN33">
        <f>PnL(($D$7*(1+BN$2)),$E33,(RiskSlide!$A$7),($G33+BN$3),((RiskSlide!$A$10)/260),$C33,$B33,RiskSlide!$H62)</f>
        <v>50.200710787841274</v>
      </c>
      <c r="BO33">
        <f>PnL(($D$7*(1+BO$2)),$E33,(RiskSlide!$A$7),($G33+BO$3),((RiskSlide!$A$10)/260),$C33,$B33,RiskSlide!$H62)</f>
        <v>-231.1942856398268</v>
      </c>
      <c r="BP33">
        <f>PnL(($D$7*(1+BP$2)),$E33,(RiskSlide!$A$7),($G33+BP$3),((RiskSlide!$A$10)/260),$C33,$B33,RiskSlide!$H62)</f>
        <v>-257.03097744041514</v>
      </c>
      <c r="BQ33">
        <f>PnL(($D$7*(1+BQ$2)),$E33,(RiskSlide!$A$7),($G33+BQ$3),((RiskSlide!$A$10)/260),$C33,$B33,RiskSlide!$H62)</f>
        <v>-280.72494130826442</v>
      </c>
      <c r="BR33">
        <f>PnL(($D$7*(1+BR$2)),$E33,(RiskSlide!$A$7),($G33+BR$3),((RiskSlide!$A$10)/260),$C33,$B33,RiskSlide!$H62)</f>
        <v>-302.28001598143271</v>
      </c>
      <c r="BS33">
        <f>PnL(($D$7*(1+BS$2)),$E33,(RiskSlide!$A$7),($G33+BS$3),((RiskSlide!$A$10)/260),$C33,$B33,RiskSlide!$H62)</f>
        <v>-321.71245261178251</v>
      </c>
      <c r="BT33">
        <f>PnL(($D$7*(1+BT$2)),$E33,(RiskSlide!$A$7),($G33+BT$3),((RiskSlide!$A$10)/260),$C33,$B33,RiskSlide!$H62)</f>
        <v>-408.01859189940262</v>
      </c>
      <c r="BU33">
        <f>PnL(($D$7*(1+BU$2)),$E33,(RiskSlide!$A$7),($G33+BU$3),((RiskSlide!$A$10)/260),$C33,$B33,RiskSlide!$H62)</f>
        <v>-419.43212603935223</v>
      </c>
      <c r="BV33">
        <f>PnL(($D$7*(1+BV$2)),$E33,(RiskSlide!$A$7),($G33+BV$3),((RiskSlide!$A$10)/260),$C33,$B33,RiskSlide!$H62)</f>
        <v>-362.29116621095693</v>
      </c>
      <c r="BW33">
        <f>PnL(($D$7*(1+BW$2)),$E33,(RiskSlide!$A$7),($G33+BW$3),((RiskSlide!$A$10)/260),$C33,$B33,RiskSlide!$H62)</f>
        <v>-410.57332794801528</v>
      </c>
      <c r="BX33">
        <f>PnL(($D$7*(1+BX$2)),$E33,(RiskSlide!$A$7),($G33+BX$3),((RiskSlide!$A$10)/260),$C33,$B33,RiskSlide!$H62)</f>
        <v>-418.72826829074052</v>
      </c>
      <c r="BY33">
        <f>PnL(($D$7*(1+BY$2)),$E33,(RiskSlide!$A$7),($G33+BY$3),((RiskSlide!$A$10)/260),$C33,$B33,RiskSlide!$H62)</f>
        <v>-418.97474409253812</v>
      </c>
      <c r="BZ33">
        <f>PnL(($D$7*(1+BZ$2)),$E33,(RiskSlide!$A$7),($G33+BZ$3),((RiskSlide!$A$10)/260),$C33,$B33,RiskSlide!$H62)</f>
        <v>-419.14558748556675</v>
      </c>
      <c r="CA33">
        <f>PnL(($D$7*(1+CA$2)),$E33,(RiskSlide!$A$7),($G33+CA$3),((RiskSlide!$A$10)/260),$C33,$B33,RiskSlide!$H62)</f>
        <v>-419.26005872018555</v>
      </c>
      <c r="CB33">
        <f>PnL(($D$7*(1+CB$2)),$E33,(RiskSlide!$A$7),($G33+CB$3),((RiskSlide!$A$10)/260),$C33,$B33,RiskSlide!$H62)</f>
        <v>-419.33388329464259</v>
      </c>
      <c r="CC33">
        <f>PnL(($D$7*(1+CC$2)),$E33,(RiskSlide!$A$7),($G33+CC$3),((RiskSlide!$A$10)/260),$C33,$B33,RiskSlide!$H62)</f>
        <v>-419.43535257529516</v>
      </c>
      <c r="CD33">
        <f>PnL(($D$7*(1+CD$2)),$E33,(RiskSlide!$A$7),($G33+CD$3),((RiskSlide!$A$10)/260),$C33,$B33,RiskSlide!$H62)</f>
        <v>-419.43545463863074</v>
      </c>
      <c r="CE33">
        <f>PnL(($D$7*(1+CE$2)),$E33,(RiskSlide!$A$7),($G33+CE$3),((RiskSlide!$A$10)/260),$C33,$B33,RiskSlide!$H62)</f>
        <v>-419.02572708144515</v>
      </c>
      <c r="CF33">
        <f>PnL(($D$7*(1+CF$2)),$E33,(RiskSlide!$A$7),($G33+CF$3),((RiskSlide!$A$10)/260),$C33,$B33,RiskSlide!$H62)</f>
        <v>-419.42851909325759</v>
      </c>
      <c r="CG33">
        <f>PnL(($D$7*(1+CG$2)),$E33,(RiskSlide!$A$7),($G33+CG$3),((RiskSlide!$A$10)/260),$C33,$B33,RiskSlide!$H62)</f>
        <v>-419.43543327429086</v>
      </c>
      <c r="CH33">
        <f>PnL(($D$7*(1+CH$2)),$E33,(RiskSlide!$A$7),($G33+CH$3),((RiskSlide!$A$10)/260),$C33,$B33,RiskSlide!$H62)</f>
        <v>-419.43544678304534</v>
      </c>
      <c r="CI33">
        <f>PnL(($D$7*(1+CI$2)),$E33,(RiskSlide!$A$7),($G33+CI$3),((RiskSlide!$A$10)/260),$C33,$B33,RiskSlide!$H62)</f>
        <v>-419.43545198990239</v>
      </c>
      <c r="CJ33">
        <f>PnL(($D$7*(1+CJ$2)),$E33,(RiskSlide!$A$7),($G33+CJ$3),((RiskSlide!$A$10)/260),$C33,$B33,RiskSlide!$H62)</f>
        <v>-419.43545382839739</v>
      </c>
      <c r="CK33">
        <f>PnL(($D$7*(1+CK$2)),$E33,(RiskSlide!$A$7),($G33+CK$3),((RiskSlide!$A$10)/260),$C33,$B33,RiskSlide!$H62)</f>
        <v>-419.43545441656067</v>
      </c>
      <c r="CL33">
        <f>PnL(($D$7*(1+CL$2)),$E33,(RiskSlide!$A$7),($G33+CL$3),((RiskSlide!$A$10)/260),$C33,$B33,RiskSlide!$H62)</f>
        <v>-419.43545463863074</v>
      </c>
      <c r="CM33">
        <f>PnL(($D$7*(1+CM$2)),$E33,(RiskSlide!$A$7),($G33+CM$3),((RiskSlide!$A$10)/260),$C33,$B33,RiskSlide!$H62)</f>
        <v>-419.43545463863074</v>
      </c>
    </row>
    <row r="34" spans="1:91" x14ac:dyDescent="0.25">
      <c r="A34" t="s">
        <v>29</v>
      </c>
      <c r="B34">
        <v>-22</v>
      </c>
      <c r="C34">
        <v>0</v>
      </c>
      <c r="E34">
        <v>1740</v>
      </c>
      <c r="F34">
        <v>3.5000000000000001E-3</v>
      </c>
      <c r="G34">
        <v>0.162212</v>
      </c>
      <c r="K34">
        <f>PnL(($D$7*(1+K$2)),$E34,(RiskSlide!$A$7),($G34+K$3),((RiskSlide!$A$10)/260),$C34,$B34,RiskSlide!$H63)</f>
        <v>-147714.88071761152</v>
      </c>
      <c r="L34">
        <f>PnL(($D$7*(1+L$2)),$E34,(RiskSlide!$A$7),($G34+L$3),((RiskSlide!$A$10)/260),$C34,$B34,RiskSlide!$H63)</f>
        <v>-147610.71198705252</v>
      </c>
      <c r="M34">
        <f>PnL(($D$7*(1+M$2)),$E34,(RiskSlide!$A$7),($G34+M$3),((RiskSlide!$A$10)/260),$C34,$B34,RiskSlide!$H63)</f>
        <v>-147598.29617332722</v>
      </c>
      <c r="N34">
        <f>PnL(($D$7*(1+N$2)),$E34,(RiskSlide!$A$7),($G34+N$3),((RiskSlide!$A$10)/260),$C34,$B34,RiskSlide!$H63)</f>
        <v>-147598.0434390681</v>
      </c>
      <c r="O34">
        <f>PnL(($D$7*(1+O$2)),$E34,(RiskSlide!$A$7),($G34+O$3),((RiskSlide!$A$10)/260),$C34,$B34,RiskSlide!$H63)</f>
        <v>-147597.88404240302</v>
      </c>
      <c r="P34">
        <f>PnL(($D$7*(1+P$2)),$E34,(RiskSlide!$A$7),($G34+P$3),((RiskSlide!$A$10)/260),$C34,$B34,RiskSlide!$H63)</f>
        <v>-147597.78781671048</v>
      </c>
      <c r="Q34">
        <f>PnL(($D$7*(1+Q$2)),$E34,(RiskSlide!$A$7),($G34+Q$3),((RiskSlide!$A$10)/260),$C34,$B34,RiskSlide!$H63)</f>
        <v>-147597.7325292725</v>
      </c>
      <c r="R34">
        <f>PnL(($D$7*(1+R$2)),$E34,(RiskSlide!$A$7),($G34+R$3),((RiskSlide!$A$10)/260),$C34,$B34,RiskSlide!$H63)</f>
        <v>-147597.67492219241</v>
      </c>
      <c r="S34">
        <f>PnL(($D$7*(1+S$2)),$E34,(RiskSlide!$A$7),($G34+S$3),((RiskSlide!$A$10)/260),$C34,$B34,RiskSlide!$H63)</f>
        <v>-147597.67491249612</v>
      </c>
      <c r="T34">
        <f>PnL(($D$7*(1+T$2)),$E34,(RiskSlide!$A$7),($G34+T$3),((RiskSlide!$A$10)/260),$C34,$B34,RiskSlide!$H63)</f>
        <v>-56413.522151227364</v>
      </c>
      <c r="U34">
        <f>PnL(($D$7*(1+U$2)),$E34,(RiskSlide!$A$7),($G34+U$3),((RiskSlide!$A$10)/260),$C34,$B34,RiskSlide!$H63)</f>
        <v>-53403.328739610974</v>
      </c>
      <c r="V34">
        <f>PnL(($D$7*(1+V$2)),$E34,(RiskSlide!$A$7),($G34+V$3),((RiskSlide!$A$10)/260),$C34,$B34,RiskSlide!$H63)</f>
        <v>-51486.957015787477</v>
      </c>
      <c r="W34">
        <f>PnL(($D$7*(1+W$2)),$E34,(RiskSlide!$A$7),($G34+W$3),((RiskSlide!$A$10)/260),$C34,$B34,RiskSlide!$H63)</f>
        <v>-51287.609419911365</v>
      </c>
      <c r="X34">
        <f>PnL(($D$7*(1+X$2)),$E34,(RiskSlide!$A$7),($G34+X$3),((RiskSlide!$A$10)/260),$C34,$B34,RiskSlide!$H63)</f>
        <v>-51098.451399948164</v>
      </c>
      <c r="Y34">
        <f>PnL(($D$7*(1+Y$2)),$E34,(RiskSlide!$A$7),($G34+Y$3),((RiskSlide!$A$10)/260),$C34,$B34,RiskSlide!$H63)</f>
        <v>-50919.857955007254</v>
      </c>
      <c r="Z34">
        <f>PnL(($D$7*(1+Z$2)),$E34,(RiskSlide!$A$7),($G34+Z$3),((RiskSlide!$A$10)/260),$C34,$B34,RiskSlide!$H63)</f>
        <v>-50752.190772604517</v>
      </c>
      <c r="AA34">
        <f>PnL(($D$7*(1+AA$2)),$E34,(RiskSlide!$A$7),($G34+AA$3),((RiskSlide!$A$10)/260),$C34,$B34,RiskSlide!$H63)</f>
        <v>-49834.841819658053</v>
      </c>
      <c r="AB34">
        <f>PnL(($D$7*(1+AB$2)),$E34,(RiskSlide!$A$7),($G34+AB$3),((RiskSlide!$A$10)/260),$C34,$B34,RiskSlide!$H63)</f>
        <v>-49596.046151786075</v>
      </c>
      <c r="AC34">
        <f>PnL(($D$7*(1+AC$2)),$E34,(RiskSlide!$A$7),($G34+AC$3),((RiskSlide!$A$10)/260),$C34,$B34,RiskSlide!$H63)</f>
        <v>-11681.578416994484</v>
      </c>
      <c r="AD34">
        <f>PnL(($D$7*(1+AD$2)),$E34,(RiskSlide!$A$7),($G34+AD$3),((RiskSlide!$A$10)/260),$C34,$B34,RiskSlide!$H63)</f>
        <v>-7413.9502522136863</v>
      </c>
      <c r="AE34">
        <f>PnL(($D$7*(1+AE$2)),$E34,(RiskSlide!$A$7),($G34+AE$3),((RiskSlide!$A$10)/260),$C34,$B34,RiskSlide!$H63)</f>
        <v>-4191.5111538617221</v>
      </c>
      <c r="AF34">
        <f>PnL(($D$7*(1+AF$2)),$E34,(RiskSlide!$A$7),($G34+AF$3),((RiskSlide!$A$10)/260),$C34,$B34,RiskSlide!$H63)</f>
        <v>-3806.6636998907825</v>
      </c>
      <c r="AG34">
        <f>PnL(($D$7*(1+AG$2)),$E34,(RiskSlide!$A$7),($G34+AG$3),((RiskSlide!$A$10)/260),$C34,$B34,RiskSlide!$H63)</f>
        <v>-3426.8628887786517</v>
      </c>
      <c r="AH34">
        <f>PnL(($D$7*(1+AH$2)),$E34,(RiskSlide!$A$7),($G34+AH$3),((RiskSlide!$A$10)/260),$C34,$B34,RiskSlide!$H63)</f>
        <v>-3052.514396064902</v>
      </c>
      <c r="AI34">
        <f>PnL(($D$7*(1+AI$2)),$E34,(RiskSlide!$A$7),($G34+AI$3),((RiskSlide!$A$10)/260),$C34,$B34,RiskSlide!$H63)</f>
        <v>-2684.0654119287419</v>
      </c>
      <c r="AJ34">
        <f>PnL(($D$7*(1+AJ$2)),$E34,(RiskSlide!$A$7),($G34+AJ$3),((RiskSlide!$A$10)/260),$C34,$B34,RiskSlide!$H63)</f>
        <v>-20.557198400689458</v>
      </c>
      <c r="AK34">
        <f>PnL(($D$7*(1+AK$2)),$E34,(RiskSlide!$A$7),($G34+AK$3),((RiskSlide!$A$10)/260),$C34,$B34,RiskSlide!$H63)</f>
        <v>2037.5981335001625</v>
      </c>
      <c r="AL34">
        <f>PnL(($D$7*(1+AL$2)),$E34,(RiskSlide!$A$7),($G34+AL$3),((RiskSlide!$A$10)/260),$C34,$B34,RiskSlide!$H63)</f>
        <v>-8715.6816675170539</v>
      </c>
      <c r="AM34">
        <f>PnL(($D$7*(1+AM$2)),$E34,(RiskSlide!$A$7),($G34+AM$3),((RiskSlide!$A$10)/260),$C34,$B34,RiskSlide!$H63)</f>
        <v>-4827.6173842591334</v>
      </c>
      <c r="AN34">
        <f>PnL(($D$7*(1+AN$2)),$E34,(RiskSlide!$A$7),($G34+AN$3),((RiskSlide!$A$10)/260),$C34,$B34,RiskSlide!$H63)</f>
        <v>-2034.487386285042</v>
      </c>
      <c r="AO34">
        <f>PnL(($D$7*(1+AO$2)),$E34,(RiskSlide!$A$7),($G34+AO$3),((RiskSlide!$A$10)/260),$C34,$B34,RiskSlide!$H63)</f>
        <v>-1713.9237073623747</v>
      </c>
      <c r="AP34">
        <f>PnL(($D$7*(1+AP$2)),$E34,(RiskSlide!$A$7),($G34+AP$3),((RiskSlide!$A$10)/260),$C34,$B34,RiskSlide!$H63)</f>
        <v>-1401.1560308770584</v>
      </c>
      <c r="AQ34">
        <f>PnL(($D$7*(1+AQ$2)),$E34,(RiskSlide!$A$7),($G34+AQ$3),((RiskSlide!$A$10)/260),$C34,$B34,RiskSlide!$H63)</f>
        <v>-1096.7106957059514</v>
      </c>
      <c r="AR34">
        <f>PnL(($D$7*(1+AR$2)),$E34,(RiskSlide!$A$7),($G34+AR$3),((RiskSlide!$A$10)/260),$C34,$B34,RiskSlide!$H63)</f>
        <v>-801.15268567029148</v>
      </c>
      <c r="AS34">
        <f>PnL(($D$7*(1+AS$2)),$E34,(RiskSlide!$A$7),($G34+AS$3),((RiskSlide!$A$10)/260),$C34,$B34,RiskSlide!$H63)</f>
        <v>1162.3269896058844</v>
      </c>
      <c r="AT34">
        <f>PnL(($D$7*(1+AT$2)),$E34,(RiskSlide!$A$7),($G34+AT$3),((RiskSlide!$A$10)/260),$C34,$B34,RiskSlide!$H63)</f>
        <v>2221.7379247863787</v>
      </c>
      <c r="AU34">
        <f>PnL(($D$7*(1+AU$2)),$E34,(RiskSlide!$A$7),($G34+AU$3),((RiskSlide!$A$10)/260),$C34,$B34,RiskSlide!$H63)</f>
        <v>-6255.3575939786351</v>
      </c>
      <c r="AV34">
        <f>PnL(($D$7*(1+AV$2)),$E34,(RiskSlide!$A$7),($G34+AV$3),((RiskSlide!$A$10)/260),$C34,$B34,RiskSlide!$H63)</f>
        <v>-2813.2550198656363</v>
      </c>
      <c r="AW34">
        <f>PnL(($D$7*(1+AW$2)),$E34,(RiskSlide!$A$7),($G34+AW$3),((RiskSlide!$A$10)/260),$C34,$B34,RiskSlide!$H63)</f>
        <v>-495.21538676993089</v>
      </c>
      <c r="AX34">
        <f>PnL(($D$7*(1+AX$2)),$E34,(RiskSlide!$A$7),($G34+AX$3),((RiskSlide!$A$10)/260),$C34,$B34,RiskSlide!$H63)</f>
        <v>-242.72000120497808</v>
      </c>
      <c r="AY34">
        <f>PnL(($D$7*(1+AY$2)),$E34,(RiskSlide!$A$7),($G34+AY$3),((RiskSlide!$A$10)/260),$C34,$B34,RiskSlide!$H63)</f>
        <v>0</v>
      </c>
      <c r="AZ34">
        <f>PnL(($D$7*(1+AZ$2)),$E34,(RiskSlide!$A$7),($G34+AZ$3),((RiskSlide!$A$10)/260),$C34,$B34,RiskSlide!$H63)</f>
        <v>232.44601495798065</v>
      </c>
      <c r="BA34">
        <f>PnL(($D$7*(1+BA$2)),$E34,(RiskSlide!$A$7),($G34+BA$3),((RiskSlide!$A$10)/260),$C34,$B34,RiskSlide!$H63)</f>
        <v>454.1065310406168</v>
      </c>
      <c r="BB34">
        <f>PnL(($D$7*(1+BB$2)),$E34,(RiskSlide!$A$7),($G34+BB$3),((RiskSlide!$A$10)/260),$C34,$B34,RiskSlide!$H63)</f>
        <v>1779.0011064155565</v>
      </c>
      <c r="BC34">
        <f>PnL(($D$7*(1+BC$2)),$E34,(RiskSlide!$A$7),($G34+BC$3),((RiskSlide!$A$10)/260),$C34,$B34,RiskSlide!$H63)</f>
        <v>2253.6913828804095</v>
      </c>
      <c r="BD34">
        <f>PnL(($D$7*(1+BD$2)),$E34,(RiskSlide!$A$7),($G34+BD$3),((RiskSlide!$A$10)/260),$C34,$B34,RiskSlide!$H63)</f>
        <v>-4248.8028394734665</v>
      </c>
      <c r="BE34">
        <f>PnL(($D$7*(1+BE$2)),$E34,(RiskSlide!$A$7),($G34+BE$3),((RiskSlide!$A$10)/260),$C34,$B34,RiskSlide!$H63)</f>
        <v>-1285.9174790875982</v>
      </c>
      <c r="BF34">
        <f>PnL(($D$7*(1+BF$2)),$E34,(RiskSlide!$A$7),($G34+BF$3),((RiskSlide!$A$10)/260),$C34,$B34,RiskSlide!$H63)</f>
        <v>557.88459885395412</v>
      </c>
      <c r="BG34">
        <f>PnL(($D$7*(1+BG$2)),$E34,(RiskSlide!$A$7),($G34+BG$3),((RiskSlide!$A$10)/260),$C34,$B34,RiskSlide!$H63)</f>
        <v>746.10911855114068</v>
      </c>
      <c r="BH34">
        <f>PnL(($D$7*(1+BH$2)),$E34,(RiskSlide!$A$7),($G34+BH$3),((RiskSlide!$A$10)/260),$C34,$B34,RiskSlide!$H63)</f>
        <v>923.77362211928471</v>
      </c>
      <c r="BI34">
        <f>PnL(($D$7*(1+BI$2)),$E34,(RiskSlide!$A$7),($G34+BI$3),((RiskSlide!$A$10)/260),$C34,$B34,RiskSlide!$H63)</f>
        <v>1090.5497839527484</v>
      </c>
      <c r="BJ34">
        <f>PnL(($D$7*(1+BJ$2)),$E34,(RiskSlide!$A$7),($G34+BJ$3),((RiskSlide!$A$10)/260),$C34,$B34,RiskSlide!$H63)</f>
        <v>1246.1328483595125</v>
      </c>
      <c r="BK34">
        <f>PnL(($D$7*(1+BK$2)),$E34,(RiskSlide!$A$7),($G34+BK$3),((RiskSlide!$A$10)/260),$C34,$B34,RiskSlide!$H63)</f>
        <v>2068.1639265978588</v>
      </c>
      <c r="BL34">
        <f>PnL(($D$7*(1+BL$2)),$E34,(RiskSlide!$A$7),($G34+BL$3),((RiskSlide!$A$10)/260),$C34,$B34,RiskSlide!$H63)</f>
        <v>2257.5294884894161</v>
      </c>
      <c r="BM34">
        <f>PnL(($D$7*(1+BM$2)),$E34,(RiskSlide!$A$7),($G34+BM$3),((RiskSlide!$A$10)/260),$C34,$B34,RiskSlide!$H63)</f>
        <v>-2640.2800482431985</v>
      </c>
      <c r="BN34">
        <f>PnL(($D$7*(1+BN$2)),$E34,(RiskSlide!$A$7),($G34+BN$3),((RiskSlide!$A$10)/260),$C34,$B34,RiskSlide!$H63)</f>
        <v>-159.01194842359132</v>
      </c>
      <c r="BO34">
        <f>PnL(($D$7*(1+BO$2)),$E34,(RiskSlide!$A$7),($G34+BO$3),((RiskSlide!$A$10)/260),$C34,$B34,RiskSlide!$H63)</f>
        <v>1248.1228772856682</v>
      </c>
      <c r="BP34">
        <f>PnL(($D$7*(1+BP$2)),$E34,(RiskSlide!$A$7),($G34+BP$3),((RiskSlide!$A$10)/260),$C34,$B34,RiskSlide!$H63)</f>
        <v>1381.0296552894129</v>
      </c>
      <c r="BQ34">
        <f>PnL(($D$7*(1+BQ$2)),$E34,(RiskSlide!$A$7),($G34+BQ$3),((RiskSlide!$A$10)/260),$C34,$B34,RiskSlide!$H63)</f>
        <v>1503.8004335921869</v>
      </c>
      <c r="BR34">
        <f>PnL(($D$7*(1+BR$2)),$E34,(RiskSlide!$A$7),($G34+BR$3),((RiskSlide!$A$10)/260),$C34,$B34,RiskSlide!$H63)</f>
        <v>1616.3537885800395</v>
      </c>
      <c r="BS34">
        <f>PnL(($D$7*(1+BS$2)),$E34,(RiskSlide!$A$7),($G34+BS$3),((RiskSlide!$A$10)/260),$C34,$B34,RiskSlide!$H63)</f>
        <v>1718.6610836290797</v>
      </c>
      <c r="BT34">
        <f>PnL(($D$7*(1+BT$2)),$E34,(RiskSlide!$A$7),($G34+BT$3),((RiskSlide!$A$10)/260),$C34,$B34,RiskSlide!$H63)</f>
        <v>2189.9074965070713</v>
      </c>
      <c r="BU34">
        <f>PnL(($D$7*(1+BU$2)),$E34,(RiskSlide!$A$7),($G34+BU$3),((RiskSlide!$A$10)/260),$C34,$B34,RiskSlide!$H63)</f>
        <v>2257.847442359785</v>
      </c>
      <c r="BV34">
        <f>PnL(($D$7*(1+BV$2)),$E34,(RiskSlide!$A$7),($G34+BV$3),((RiskSlide!$A$10)/260),$C34,$B34,RiskSlide!$H63)</f>
        <v>1970.6437988703619</v>
      </c>
      <c r="BW34">
        <f>PnL(($D$7*(1+BW$2)),$E34,(RiskSlide!$A$7),($G34+BW$3),((RiskSlide!$A$10)/260),$C34,$B34,RiskSlide!$H63)</f>
        <v>2212.2493378824474</v>
      </c>
      <c r="BX34">
        <f>PnL(($D$7*(1+BX$2)),$E34,(RiskSlide!$A$7),($G34+BX$3),((RiskSlide!$A$10)/260),$C34,$B34,RiskSlide!$H63)</f>
        <v>2254.18722405478</v>
      </c>
      <c r="BY34">
        <f>PnL(($D$7*(1+BY$2)),$E34,(RiskSlide!$A$7),($G34+BY$3),((RiskSlide!$A$10)/260),$C34,$B34,RiskSlide!$H63)</f>
        <v>2255.4713638307917</v>
      </c>
      <c r="BZ34">
        <f>PnL(($D$7*(1+BZ$2)),$E34,(RiskSlide!$A$7),($G34+BZ$3),((RiskSlide!$A$10)/260),$C34,$B34,RiskSlide!$H63)</f>
        <v>2256.3620175610208</v>
      </c>
      <c r="CA34">
        <f>PnL(($D$7*(1+CA$2)),$E34,(RiskSlide!$A$7),($G34+CA$3),((RiskSlide!$A$10)/260),$C34,$B34,RiskSlide!$H63)</f>
        <v>2256.9586478017791</v>
      </c>
      <c r="CB34">
        <f>PnL(($D$7*(1+CB$2)),$E34,(RiskSlide!$A$7),($G34+CB$3),((RiskSlide!$A$10)/260),$C34,$B34,RiskSlide!$H63)</f>
        <v>2257.3429142395075</v>
      </c>
      <c r="CC34">
        <f>PnL(($D$7*(1+CC$2)),$E34,(RiskSlide!$A$7),($G34+CC$3),((RiskSlide!$A$10)/260),$C34,$B34,RiskSlide!$H63)</f>
        <v>2257.8658735146655</v>
      </c>
      <c r="CD34">
        <f>PnL(($D$7*(1+CD$2)),$E34,(RiskSlide!$A$7),($G34+CD$3),((RiskSlide!$A$10)/260),$C34,$B34,RiskSlide!$H63)</f>
        <v>2257.86632372637</v>
      </c>
      <c r="CE34">
        <f>PnL(($D$7*(1+CE$2)),$E34,(RiskSlide!$A$7),($G34+CE$3),((RiskSlide!$A$10)/260),$C34,$B34,RiskSlide!$H63)</f>
        <v>2255.8712716097916</v>
      </c>
      <c r="CF34">
        <f>PnL(($D$7*(1+CF$2)),$E34,(RiskSlide!$A$7),($G34+CF$3),((RiskSlide!$A$10)/260),$C34,$B34,RiskSlide!$H63)</f>
        <v>2257.8336826148338</v>
      </c>
      <c r="CG34">
        <f>PnL(($D$7*(1+CG$2)),$E34,(RiskSlide!$A$7),($G34+CG$3),((RiskSlide!$A$10)/260),$C34,$B34,RiskSlide!$H63)</f>
        <v>2257.8662341164768</v>
      </c>
      <c r="CH34">
        <f>PnL(($D$7*(1+CH$2)),$E34,(RiskSlide!$A$7),($G34+CH$3),((RiskSlide!$A$10)/260),$C34,$B34,RiskSlide!$H63)</f>
        <v>2257.8662916683861</v>
      </c>
      <c r="CI34">
        <f>PnL(($D$7*(1+CI$2)),$E34,(RiskSlide!$A$7),($G34+CI$3),((RiskSlide!$A$10)/260),$C34,$B34,RiskSlide!$H63)</f>
        <v>2257.8663132595839</v>
      </c>
      <c r="CJ34">
        <f>PnL(($D$7*(1+CJ$2)),$E34,(RiskSlide!$A$7),($G34+CJ$3),((RiskSlide!$A$10)/260),$C34,$B34,RiskSlide!$H63)</f>
        <v>2257.8663206436177</v>
      </c>
      <c r="CK34">
        <f>PnL(($D$7*(1+CK$2)),$E34,(RiskSlide!$A$7),($G34+CK$3),((RiskSlide!$A$10)/260),$C34,$B34,RiskSlide!$H63)</f>
        <v>2257.866322918343</v>
      </c>
      <c r="CL34">
        <f>PnL(($D$7*(1+CL$2)),$E34,(RiskSlide!$A$7),($G34+CL$3),((RiskSlide!$A$10)/260),$C34,$B34,RiskSlide!$H63)</f>
        <v>2257.86632372637</v>
      </c>
      <c r="CM34">
        <f>PnL(($D$7*(1+CM$2)),$E34,(RiskSlide!$A$7),($G34+CM$3),((RiskSlide!$A$10)/260),$C34,$B34,RiskSlide!$H63)</f>
        <v>2257.86632372637</v>
      </c>
    </row>
    <row r="35" spans="1:91" x14ac:dyDescent="0.25">
      <c r="A35" t="s">
        <v>30</v>
      </c>
      <c r="B35">
        <v>9</v>
      </c>
      <c r="C35">
        <v>0</v>
      </c>
      <c r="E35">
        <v>1745</v>
      </c>
      <c r="F35">
        <v>3.5000000000000001E-3</v>
      </c>
      <c r="G35">
        <v>0.15840199999999999</v>
      </c>
      <c r="K35">
        <f>PnL(($D$7*(1+K$2)),$E35,(RiskSlide!$A$7),($G35+K$3),((RiskSlide!$A$10)/260),$C35,$B35,RiskSlide!$H64)</f>
        <v>62444.003049486528</v>
      </c>
      <c r="L35">
        <f>PnL(($D$7*(1+L$2)),$E35,(RiskSlide!$A$7),($G35+L$3),((RiskSlide!$A$10)/260),$C35,$B35,RiskSlide!$H64)</f>
        <v>62415.093431316876</v>
      </c>
      <c r="M35">
        <f>PnL(($D$7*(1+M$2)),$E35,(RiskSlide!$A$7),($G35+M$3),((RiskSlide!$A$10)/260),$C35,$B35,RiskSlide!$H64)</f>
        <v>62412.362869872442</v>
      </c>
      <c r="N35">
        <f>PnL(($D$7*(1+N$2)),$E35,(RiskSlide!$A$7),($G35+N$3),((RiskSlide!$A$10)/260),$C35,$B35,RiskSlide!$H64)</f>
        <v>62412.321128295356</v>
      </c>
      <c r="O35">
        <f>PnL(($D$7*(1+O$2)),$E35,(RiskSlide!$A$7),($G35+O$3),((RiskSlide!$A$10)/260),$C35,$B35,RiskSlide!$H64)</f>
        <v>62412.296535100599</v>
      </c>
      <c r="P35">
        <f>PnL(($D$7*(1+P$2)),$E35,(RiskSlide!$A$7),($G35+P$3),((RiskSlide!$A$10)/260),$C35,$B35,RiskSlide!$H64)</f>
        <v>62412.282771596496</v>
      </c>
      <c r="Q35">
        <f>PnL(($D$7*(1+Q$2)),$E35,(RiskSlide!$A$7),($G35+Q$3),((RiskSlide!$A$10)/260),$C35,$B35,RiskSlide!$H64)</f>
        <v>62412.275504931735</v>
      </c>
      <c r="R35">
        <f>PnL(($D$7*(1+R$2)),$E35,(RiskSlide!$A$7),($G35+R$3),((RiskSlide!$A$10)/260),$C35,$B35,RiskSlide!$H64)</f>
        <v>62412.269193891523</v>
      </c>
      <c r="S35">
        <f>PnL(($D$7*(1+S$2)),$E35,(RiskSlide!$A$7),($G35+S$3),((RiskSlide!$A$10)/260),$C35,$B35,RiskSlide!$H64)</f>
        <v>62412.269193626416</v>
      </c>
      <c r="T35">
        <f>PnL(($D$7*(1+T$2)),$E35,(RiskSlide!$A$7),($G35+T$3),((RiskSlide!$A$10)/260),$C35,$B35,RiskSlide!$H64)</f>
        <v>24604.55366960396</v>
      </c>
      <c r="U35">
        <f>PnL(($D$7*(1+U$2)),$E35,(RiskSlide!$A$7),($G35+U$3),((RiskSlide!$A$10)/260),$C35,$B35,RiskSlide!$H64)</f>
        <v>23504.037973538008</v>
      </c>
      <c r="V35">
        <f>PnL(($D$7*(1+V$2)),$E35,(RiskSlide!$A$7),($G35+V$3),((RiskSlide!$A$10)/260),$C35,$B35,RiskSlide!$H64)</f>
        <v>22847.686556144927</v>
      </c>
      <c r="W35">
        <f>PnL(($D$7*(1+W$2)),$E35,(RiskSlide!$A$7),($G35+W$3),((RiskSlide!$A$10)/260),$C35,$B35,RiskSlide!$H64)</f>
        <v>22783.146889084848</v>
      </c>
      <c r="X35">
        <f>PnL(($D$7*(1+X$2)),$E35,(RiskSlide!$A$7),($G35+X$3),((RiskSlide!$A$10)/260),$C35,$B35,RiskSlide!$H64)</f>
        <v>22722.884953513225</v>
      </c>
      <c r="Y35">
        <f>PnL(($D$7*(1+Y$2)),$E35,(RiskSlide!$A$7),($G35+Y$3),((RiskSlide!$A$10)/260),$C35,$B35,RiskSlide!$H64)</f>
        <v>22666.993008769376</v>
      </c>
      <c r="Z35">
        <f>PnL(($D$7*(1+Z$2)),$E35,(RiskSlide!$A$7),($G35+Z$3),((RiskSlide!$A$10)/260),$C35,$B35,RiskSlide!$H64)</f>
        <v>22615.546781155765</v>
      </c>
      <c r="AA35">
        <f>PnL(($D$7*(1+AA$2)),$E35,(RiskSlide!$A$7),($G35+AA$3),((RiskSlide!$A$10)/260),$C35,$B35,RiskSlide!$H64)</f>
        <v>22363.668350545304</v>
      </c>
      <c r="AB35">
        <f>PnL(($D$7*(1+AB$2)),$E35,(RiskSlide!$A$7),($G35+AB$3),((RiskSlide!$A$10)/260),$C35,$B35,RiskSlide!$H64)</f>
        <v>22320.436322913374</v>
      </c>
      <c r="AC35">
        <f>PnL(($D$7*(1+AC$2)),$E35,(RiskSlide!$A$7),($G35+AC$3),((RiskSlide!$A$10)/260),$C35,$B35,RiskSlide!$H64)</f>
        <v>5225.8645738188106</v>
      </c>
      <c r="AD35">
        <f>PnL(($D$7*(1+AD$2)),$E35,(RiskSlide!$A$7),($G35+AD$3),((RiskSlide!$A$10)/260),$C35,$B35,RiskSlide!$H64)</f>
        <v>3407.9678810351511</v>
      </c>
      <c r="AE35">
        <f>PnL(($D$7*(1+AE$2)),$E35,(RiskSlide!$A$7),($G35+AE$3),((RiskSlide!$A$10)/260),$C35,$B35,RiskSlide!$H64)</f>
        <v>2008.2684180138899</v>
      </c>
      <c r="AF35">
        <f>PnL(($D$7*(1+AF$2)),$E35,(RiskSlide!$A$7),($G35+AF$3),((RiskSlide!$A$10)/260),$C35,$B35,RiskSlide!$H64)</f>
        <v>1838.5466373379159</v>
      </c>
      <c r="AG35">
        <f>PnL(($D$7*(1+AG$2)),$E35,(RiskSlide!$A$7),($G35+AG$3),((RiskSlide!$A$10)/260),$C35,$B35,RiskSlide!$H64)</f>
        <v>1670.3229421308406</v>
      </c>
      <c r="AH35">
        <f>PnL(($D$7*(1+AH$2)),$E35,(RiskSlide!$A$7),($G35+AH$3),((RiskSlide!$A$10)/260),$C35,$B35,RiskSlide!$H64)</f>
        <v>1503.7286497507266</v>
      </c>
      <c r="AI35">
        <f>PnL(($D$7*(1+AI$2)),$E35,(RiskSlide!$A$7),($G35+AI$3),((RiskSlide!$A$10)/260),$C35,$B35,RiskSlide!$H64)</f>
        <v>1338.9102532283744</v>
      </c>
      <c r="AJ35">
        <f>PnL(($D$7*(1+AJ$2)),$E35,(RiskSlide!$A$7),($G35+AJ$3),((RiskSlide!$A$10)/260),$C35,$B35,RiskSlide!$H64)</f>
        <v>108.93802211108721</v>
      </c>
      <c r="AK35">
        <f>PnL(($D$7*(1+AK$2)),$E35,(RiskSlide!$A$7),($G35+AK$3),((RiskSlide!$A$10)/260),$C35,$B35,RiskSlide!$H64)</f>
        <v>-976.68858561007278</v>
      </c>
      <c r="AL35">
        <f>PnL(($D$7*(1+AL$2)),$E35,(RiskSlide!$A$7),($G35+AL$3),((RiskSlide!$A$10)/260),$C35,$B35,RiskSlide!$H64)</f>
        <v>3895.0072582262551</v>
      </c>
      <c r="AM35">
        <f>PnL(($D$7*(1+AM$2)),$E35,(RiskSlide!$A$7),($G35+AM$3),((RiskSlide!$A$10)/260),$C35,$B35,RiskSlide!$H64)</f>
        <v>2215.1591634484985</v>
      </c>
      <c r="AN35">
        <f>PnL(($D$7*(1+AN$2)),$E35,(RiskSlide!$A$7),($G35+AN$3),((RiskSlide!$A$10)/260),$C35,$B35,RiskSlide!$H64)</f>
        <v>976.73863961132383</v>
      </c>
      <c r="AO35">
        <f>PnL(($D$7*(1+AO$2)),$E35,(RiskSlide!$A$7),($G35+AO$3),((RiskSlide!$A$10)/260),$C35,$B35,RiskSlide!$H64)</f>
        <v>831.7109838014062</v>
      </c>
      <c r="AP35">
        <f>PnL(($D$7*(1+AP$2)),$E35,(RiskSlide!$A$7),($G35+AP$3),((RiskSlide!$A$10)/260),$C35,$B35,RiskSlide!$H64)</f>
        <v>689.40570251833435</v>
      </c>
      <c r="AQ35">
        <f>PnL(($D$7*(1+AQ$2)),$E35,(RiskSlide!$A$7),($G35+AQ$3),((RiskSlide!$A$10)/260),$C35,$B35,RiskSlide!$H64)</f>
        <v>550.03018982719141</v>
      </c>
      <c r="AR35">
        <f>PnL(($D$7*(1+AR$2)),$E35,(RiskSlide!$A$7),($G35+AR$3),((RiskSlide!$A$10)/260),$C35,$B35,RiskSlide!$H64)</f>
        <v>413.81083967804102</v>
      </c>
      <c r="AS35">
        <f>PnL(($D$7*(1+AS$2)),$E35,(RiskSlide!$A$7),($G35+AS$3),((RiskSlide!$A$10)/260),$C35,$B35,RiskSlide!$H64)</f>
        <v>-527.57743133710301</v>
      </c>
      <c r="AT35">
        <f>PnL(($D$7*(1+AT$2)),$E35,(RiskSlide!$A$7),($G35+AT$3),((RiskSlide!$A$10)/260),$C35,$B35,RiskSlide!$H64)</f>
        <v>-1114.2175839646247</v>
      </c>
      <c r="AU35">
        <f>PnL(($D$7*(1+AU$2)),$E35,(RiskSlide!$A$7),($G35+AU$3),((RiskSlide!$A$10)/260),$C35,$B35,RiskSlide!$H64)</f>
        <v>2783.6358986678506</v>
      </c>
      <c r="AV35">
        <f>PnL(($D$7*(1+AV$2)),$E35,(RiskSlide!$A$7),($G35+AV$3),((RiskSlide!$A$10)/260),$C35,$B35,RiskSlide!$H64)</f>
        <v>1276.9117165547527</v>
      </c>
      <c r="AW35">
        <f>PnL(($D$7*(1+AW$2)),$E35,(RiskSlide!$A$7),($G35+AW$3),((RiskSlide!$A$10)/260),$C35,$B35,RiskSlide!$H64)</f>
        <v>229.96014791838206</v>
      </c>
      <c r="AX35">
        <f>PnL(($D$7*(1+AX$2)),$E35,(RiskSlide!$A$7),($G35+AX$3),((RiskSlide!$A$10)/260),$C35,$B35,RiskSlide!$H64)</f>
        <v>113.09823821388534</v>
      </c>
      <c r="AY35">
        <f>PnL(($D$7*(1+AY$2)),$E35,(RiskSlide!$A$7),($G35+AY$3),((RiskSlide!$A$10)/260),$C35,$B35,RiskSlide!$H64)</f>
        <v>0</v>
      </c>
      <c r="AZ35">
        <f>PnL(($D$7*(1+AZ$2)),$E35,(RiskSlide!$A$7),($G35+AZ$3),((RiskSlide!$A$10)/260),$C35,$B35,RiskSlide!$H64)</f>
        <v>-109.10605660871227</v>
      </c>
      <c r="BA35">
        <f>PnL(($D$7*(1+BA$2)),$E35,(RiskSlide!$A$7),($G35+BA$3),((RiskSlide!$A$10)/260),$C35,$B35,RiskSlide!$H64)</f>
        <v>-213.97934092599797</v>
      </c>
      <c r="BB35">
        <f>PnL(($D$7*(1+BB$2)),$E35,(RiskSlide!$A$7),($G35+BB$3),((RiskSlide!$A$10)/260),$C35,$B35,RiskSlide!$H64)</f>
        <v>-868.98268569858817</v>
      </c>
      <c r="BC35">
        <f>PnL(($D$7*(1+BC$2)),$E35,(RiskSlide!$A$7),($G35+BC$3),((RiskSlide!$A$10)/260),$C35,$B35,RiskSlide!$H64)</f>
        <v>-1138.9606729029172</v>
      </c>
      <c r="BD35">
        <f>PnL(($D$7*(1+BD$2)),$E35,(RiskSlide!$A$7),($G35+BD$3),((RiskSlide!$A$10)/260),$C35,$B35,RiskSlide!$H64)</f>
        <v>1871.4340946612679</v>
      </c>
      <c r="BE35">
        <f>PnL(($D$7*(1+BE$2)),$E35,(RiskSlide!$A$7),($G35+BE$3),((RiskSlide!$A$10)/260),$C35,$B35,RiskSlide!$H64)</f>
        <v>558.86654730764178</v>
      </c>
      <c r="BF35">
        <f>PnL(($D$7*(1+BF$2)),$E35,(RiskSlide!$A$7),($G35+BF$3),((RiskSlide!$A$10)/260),$C35,$B35,RiskSlide!$H64)</f>
        <v>-287.69964346100636</v>
      </c>
      <c r="BG35">
        <f>PnL(($D$7*(1+BG$2)),$E35,(RiskSlide!$A$7),($G35+BG$3),((RiskSlide!$A$10)/260),$C35,$B35,RiskSlide!$H64)</f>
        <v>-376.57715950638391</v>
      </c>
      <c r="BH35">
        <f>PnL(($D$7*(1+BH$2)),$E35,(RiskSlide!$A$7),($G35+BH$3),((RiskSlide!$A$10)/260),$C35,$B35,RiskSlide!$H64)</f>
        <v>-461.10595432880359</v>
      </c>
      <c r="BI35">
        <f>PnL(($D$7*(1+BI$2)),$E35,(RiskSlide!$A$7),($G35+BI$3),((RiskSlide!$A$10)/260),$C35,$B35,RiskSlide!$H64)</f>
        <v>-541.10560362312435</v>
      </c>
      <c r="BJ35">
        <f>PnL(($D$7*(1+BJ$2)),$E35,(RiskSlide!$A$7),($G35+BJ$3),((RiskSlide!$A$10)/260),$C35,$B35,RiskSlide!$H64)</f>
        <v>-616.39875448820044</v>
      </c>
      <c r="BK35">
        <f>PnL(($D$7*(1+BK$2)),$E35,(RiskSlide!$A$7),($G35+BK$3),((RiskSlide!$A$10)/260),$C35,$B35,RiskSlide!$H64)</f>
        <v>-1032.7081475254938</v>
      </c>
      <c r="BL35">
        <f>PnL(($D$7*(1+BL$2)),$E35,(RiskSlide!$A$7),($G35+BL$3),((RiskSlide!$A$10)/260),$C35,$B35,RiskSlide!$H64)</f>
        <v>-1141.9063981443228</v>
      </c>
      <c r="BM35">
        <f>PnL(($D$7*(1+BM$2)),$E35,(RiskSlide!$A$7),($G35+BM$3),((RiskSlide!$A$10)/260),$C35,$B35,RiskSlide!$H64)</f>
        <v>1135.7324881177847</v>
      </c>
      <c r="BN35">
        <f>PnL(($D$7*(1+BN$2)),$E35,(RiskSlide!$A$7),($G35+BN$3),((RiskSlide!$A$10)/260),$C35,$B35,RiskSlide!$H64)</f>
        <v>24.495517272887923</v>
      </c>
      <c r="BO35">
        <f>PnL(($D$7*(1+BO$2)),$E35,(RiskSlide!$A$7),($G35+BO$3),((RiskSlide!$A$10)/260),$C35,$B35,RiskSlide!$H64)</f>
        <v>-630.97117466615487</v>
      </c>
      <c r="BP35">
        <f>PnL(($D$7*(1+BP$2)),$E35,(RiskSlide!$A$7),($G35+BP$3),((RiskSlide!$A$10)/260),$C35,$B35,RiskSlide!$H64)</f>
        <v>-694.82541148486371</v>
      </c>
      <c r="BQ35">
        <f>PnL(($D$7*(1+BQ$2)),$E35,(RiskSlide!$A$7),($G35+BQ$3),((RiskSlide!$A$10)/260),$C35,$B35,RiskSlide!$H64)</f>
        <v>-754.29221648368525</v>
      </c>
      <c r="BR35">
        <f>PnL(($D$7*(1+BR$2)),$E35,(RiskSlide!$A$7),($G35+BR$3),((RiskSlide!$A$10)/260),$C35,$B35,RiskSlide!$H64)</f>
        <v>-809.28919358600808</v>
      </c>
      <c r="BS35">
        <f>PnL(($D$7*(1+BS$2)),$E35,(RiskSlide!$A$7),($G35+BS$3),((RiskSlide!$A$10)/260),$C35,$B35,RiskSlide!$H64)</f>
        <v>-859.75252286275327</v>
      </c>
      <c r="BT35">
        <f>PnL(($D$7*(1+BT$2)),$E35,(RiskSlide!$A$7),($G35+BT$3),((RiskSlide!$A$10)/260),$C35,$B35,RiskSlide!$H64)</f>
        <v>-1102.7402498025542</v>
      </c>
      <c r="BU35">
        <f>PnL(($D$7*(1+BU$2)),$E35,(RiskSlide!$A$7),($G35+BU$3),((RiskSlide!$A$10)/260),$C35,$B35,RiskSlide!$H64)</f>
        <v>-1142.1370034194329</v>
      </c>
      <c r="BV35">
        <f>PnL(($D$7*(1+BV$2)),$E35,(RiskSlide!$A$7),($G35+BV$3),((RiskSlide!$A$10)/260),$C35,$B35,RiskSlide!$H64)</f>
        <v>-1005.8983398392135</v>
      </c>
      <c r="BW35">
        <f>PnL(($D$7*(1+BW$2)),$E35,(RiskSlide!$A$7),($G35+BW$3),((RiskSlide!$A$10)/260),$C35,$B35,RiskSlide!$H64)</f>
        <v>-1119.7422884404766</v>
      </c>
      <c r="BX35">
        <f>PnL(($D$7*(1+BX$2)),$E35,(RiskSlide!$A$7),($G35+BX$3),((RiskSlide!$A$10)/260),$C35,$B35,RiskSlide!$H64)</f>
        <v>-1140.287862706565</v>
      </c>
      <c r="BY35">
        <f>PnL(($D$7*(1+BY$2)),$E35,(RiskSlide!$A$7),($G35+BY$3),((RiskSlide!$A$10)/260),$C35,$B35,RiskSlide!$H64)</f>
        <v>-1140.9341578595722</v>
      </c>
      <c r="BZ35">
        <f>PnL(($D$7*(1+BZ$2)),$E35,(RiskSlide!$A$7),($G35+BZ$3),((RiskSlide!$A$10)/260),$C35,$B35,RiskSlide!$H64)</f>
        <v>-1141.3842907192795</v>
      </c>
      <c r="CA35">
        <f>PnL(($D$7*(1+CA$2)),$E35,(RiskSlide!$A$7),($G35+CA$3),((RiskSlide!$A$10)/260),$C35,$B35,RiskSlide!$H64)</f>
        <v>-1141.6869491386371</v>
      </c>
      <c r="CB35">
        <f>PnL(($D$7*(1+CB$2)),$E35,(RiskSlide!$A$7),($G35+CB$3),((RiskSlide!$A$10)/260),$C35,$B35,RiskSlide!$H64)</f>
        <v>-1141.8824827211677</v>
      </c>
      <c r="CC35">
        <f>PnL(($D$7*(1+CC$2)),$E35,(RiskSlide!$A$7),($G35+CC$3),((RiskSlide!$A$10)/260),$C35,$B35,RiskSlide!$H64)</f>
        <v>-1142.1490419094146</v>
      </c>
      <c r="CD35">
        <f>PnL(($D$7*(1+CD$2)),$E35,(RiskSlide!$A$7),($G35+CD$3),((RiskSlide!$A$10)/260),$C35,$B35,RiskSlide!$H64)</f>
        <v>-1142.1492524256309</v>
      </c>
      <c r="CE35">
        <f>PnL(($D$7*(1+CE$2)),$E35,(RiskSlide!$A$7),($G35+CE$3),((RiskSlide!$A$10)/260),$C35,$B35,RiskSlide!$H64)</f>
        <v>-1141.2172307227036</v>
      </c>
      <c r="CF35">
        <f>PnL(($D$7*(1+CF$2)),$E35,(RiskSlide!$A$7),($G35+CF$3),((RiskSlide!$A$10)/260),$C35,$B35,RiskSlide!$H64)</f>
        <v>-1142.1341673723223</v>
      </c>
      <c r="CG35">
        <f>PnL(($D$7*(1+CG$2)),$E35,(RiskSlide!$A$7),($G35+CG$3),((RiskSlide!$A$10)/260),$C35,$B35,RiskSlide!$H64)</f>
        <v>-1142.1492140761297</v>
      </c>
      <c r="CH35">
        <f>PnL(($D$7*(1+CH$2)),$E35,(RiskSlide!$A$7),($G35+CH$3),((RiskSlide!$A$10)/260),$C35,$B35,RiskSlide!$H64)</f>
        <v>-1142.1492389829091</v>
      </c>
      <c r="CI35">
        <f>PnL(($D$7*(1+CI$2)),$E35,(RiskSlide!$A$7),($G35+CI$3),((RiskSlide!$A$10)/260),$C35,$B35,RiskSlide!$H64)</f>
        <v>-1142.1492481426831</v>
      </c>
      <c r="CJ35">
        <f>PnL(($D$7*(1+CJ$2)),$E35,(RiskSlide!$A$7),($G35+CJ$3),((RiskSlide!$A$10)/260),$C35,$B35,RiskSlide!$H64)</f>
        <v>-1142.1492512006762</v>
      </c>
      <c r="CK35">
        <f>PnL(($D$7*(1+CK$2)),$E35,(RiskSlide!$A$7),($G35+CK$3),((RiskSlide!$A$10)/260),$C35,$B35,RiskSlide!$H64)</f>
        <v>-1142.1492521156804</v>
      </c>
      <c r="CL35">
        <f>PnL(($D$7*(1+CL$2)),$E35,(RiskSlide!$A$7),($G35+CL$3),((RiskSlide!$A$10)/260),$C35,$B35,RiskSlide!$H64)</f>
        <v>-1142.1492524256309</v>
      </c>
      <c r="CM35">
        <f>PnL(($D$7*(1+CM$2)),$E35,(RiskSlide!$A$7),($G35+CM$3),((RiskSlide!$A$10)/260),$C35,$B35,RiskSlide!$H64)</f>
        <v>-1142.1492524256309</v>
      </c>
    </row>
    <row r="36" spans="1:91" x14ac:dyDescent="0.25">
      <c r="A36" t="s">
        <v>31</v>
      </c>
      <c r="B36">
        <v>-29</v>
      </c>
      <c r="C36">
        <v>1</v>
      </c>
      <c r="E36">
        <v>1750</v>
      </c>
      <c r="F36">
        <v>3.5000000000000001E-3</v>
      </c>
      <c r="G36">
        <v>0.15498400000000001</v>
      </c>
      <c r="K36">
        <f>PnL(($D$7*(1+K$2)),$E36,(RiskSlide!$A$7),($G36+K$3),((RiskSlide!$A$10)/260),$C36,$B36,RiskSlide!$H65)</f>
        <v>50846.23534856108</v>
      </c>
      <c r="L36">
        <f>PnL(($D$7*(1+L$2)),$E36,(RiskSlide!$A$7),($G36+L$3),((RiskSlide!$A$10)/260),$C36,$B36,RiskSlide!$H65)</f>
        <v>50908.513516193023</v>
      </c>
      <c r="M36">
        <f>PnL(($D$7*(1+M$2)),$E36,(RiskSlide!$A$7),($G36+M$3),((RiskSlide!$A$10)/260),$C36,$B36,RiskSlide!$H65)</f>
        <v>50913.126218848323</v>
      </c>
      <c r="N36">
        <f>PnL(($D$7*(1+N$2)),$E36,(RiskSlide!$A$7),($G36+N$3),((RiskSlide!$A$10)/260),$C36,$B36,RiskSlide!$H65)</f>
        <v>50913.177820054334</v>
      </c>
      <c r="O36">
        <f>PnL(($D$7*(1+O$2)),$E36,(RiskSlide!$A$7),($G36+O$3),((RiskSlide!$A$10)/260),$C36,$B36,RiskSlide!$H65)</f>
        <v>50913.206078307478</v>
      </c>
      <c r="P36">
        <f>PnL(($D$7*(1+P$2)),$E36,(RiskSlide!$A$7),($G36+P$3),((RiskSlide!$A$10)/260),$C36,$B36,RiskSlide!$H65)</f>
        <v>50913.220654951394</v>
      </c>
      <c r="Q36">
        <f>PnL(($D$7*(1+Q$2)),$E36,(RiskSlide!$A$7),($G36+Q$3),((RiskSlide!$A$10)/260),$C36,$B36,RiskSlide!$H65)</f>
        <v>50913.227680175361</v>
      </c>
      <c r="R36">
        <f>PnL(($D$7*(1+R$2)),$E36,(RiskSlide!$A$7),($G36+R$3),((RiskSlide!$A$10)/260),$C36,$B36,RiskSlide!$H65)</f>
        <v>50913.232774748074</v>
      </c>
      <c r="S36">
        <f>PnL(($D$7*(1+S$2)),$E36,(RiskSlide!$A$7),($G36+S$3),((RiskSlide!$A$10)/260),$C36,$B36,RiskSlide!$H65)</f>
        <v>50913.2327747948</v>
      </c>
      <c r="T36">
        <f>PnL(($D$7*(1+T$2)),$E36,(RiskSlide!$A$7),($G36+T$3),((RiskSlide!$A$10)/260),$C36,$B36,RiskSlide!$H65)</f>
        <v>44936.507712784245</v>
      </c>
      <c r="U36">
        <f>PnL(($D$7*(1+U$2)),$E36,(RiskSlide!$A$7),($G36+U$3),((RiskSlide!$A$10)/260),$C36,$B36,RiskSlide!$H65)</f>
        <v>48059.409425274804</v>
      </c>
      <c r="V36">
        <f>PnL(($D$7*(1+V$2)),$E36,(RiskSlide!$A$7),($G36+V$3),((RiskSlide!$A$10)/260),$C36,$B36,RiskSlide!$H65)</f>
        <v>49787.230895120505</v>
      </c>
      <c r="W36">
        <f>PnL(($D$7*(1+W$2)),$E36,(RiskSlide!$A$7),($G36+W$3),((RiskSlide!$A$10)/260),$C36,$B36,RiskSlide!$H65)</f>
        <v>49946.221095920737</v>
      </c>
      <c r="X36">
        <f>PnL(($D$7*(1+X$2)),$E36,(RiskSlide!$A$7),($G36+X$3),((RiskSlide!$A$10)/260),$C36,$B36,RiskSlide!$H65)</f>
        <v>50091.89187357833</v>
      </c>
      <c r="Y36">
        <f>PnL(($D$7*(1+Y$2)),$E36,(RiskSlide!$A$7),($G36+Y$3),((RiskSlide!$A$10)/260),$C36,$B36,RiskSlide!$H65)</f>
        <v>50224.197412706701</v>
      </c>
      <c r="Z36">
        <f>PnL(($D$7*(1+Z$2)),$E36,(RiskSlide!$A$7),($G36+Z$3),((RiskSlide!$A$10)/260),$C36,$B36,RiskSlide!$H65)</f>
        <v>50343.174801634836</v>
      </c>
      <c r="AA36">
        <f>PnL(($D$7*(1+AA$2)),$E36,(RiskSlide!$A$7),($G36+AA$3),((RiskSlide!$A$10)/260),$C36,$B36,RiskSlide!$H65)</f>
        <v>50857.407868441645</v>
      </c>
      <c r="AB36">
        <f>PnL(($D$7*(1+AB$2)),$E36,(RiskSlide!$A$7),($G36+AB$3),((RiskSlide!$A$10)/260),$C36,$B36,RiskSlide!$H65)</f>
        <v>50913.230940544716</v>
      </c>
      <c r="AC36">
        <f>PnL(($D$7*(1+AC$2)),$E36,(RiskSlide!$A$7),($G36+AC$3),((RiskSlide!$A$10)/260),$C36,$B36,RiskSlide!$H65)</f>
        <v>7487.910739726658</v>
      </c>
      <c r="AD36">
        <f>PnL(($D$7*(1+AD$2)),$E36,(RiskSlide!$A$7),($G36+AD$3),((RiskSlide!$A$10)/260),$C36,$B36,RiskSlide!$H65)</f>
        <v>13541.799415273579</v>
      </c>
      <c r="AE36">
        <f>PnL(($D$7*(1+AE$2)),$E36,(RiskSlide!$A$7),($G36+AE$3),((RiskSlide!$A$10)/260),$C36,$B36,RiskSlide!$H65)</f>
        <v>18279.987442588015</v>
      </c>
      <c r="AF36">
        <f>PnL(($D$7*(1+AF$2)),$E36,(RiskSlide!$A$7),($G36+AF$3),((RiskSlide!$A$10)/260),$C36,$B36,RiskSlide!$H65)</f>
        <v>18861.979878748811</v>
      </c>
      <c r="AG36">
        <f>PnL(($D$7*(1+AG$2)),$E36,(RiskSlide!$A$7),($G36+AG$3),((RiskSlide!$A$10)/260),$C36,$B36,RiskSlide!$H65)</f>
        <v>19440.988945581488</v>
      </c>
      <c r="AH36">
        <f>PnL(($D$7*(1+AH$2)),$E36,(RiskSlide!$A$7),($G36+AH$3),((RiskSlide!$A$10)/260),$C36,$B36,RiskSlide!$H65)</f>
        <v>20016.733720397304</v>
      </c>
      <c r="AI36">
        <f>PnL(($D$7*(1+AI$2)),$E36,(RiskSlide!$A$7),($G36+AI$3),((RiskSlide!$A$10)/260),$C36,$B36,RiskSlide!$H65)</f>
        <v>20588.897625490074</v>
      </c>
      <c r="AJ36">
        <f>PnL(($D$7*(1+AJ$2)),$E36,(RiskSlide!$A$7),($G36+AJ$3),((RiskSlide!$A$10)/260),$C36,$B36,RiskSlide!$H65)</f>
        <v>24981.786750414132</v>
      </c>
      <c r="AK36">
        <f>PnL(($D$7*(1+AK$2)),$E36,(RiskSlide!$A$7),($G36+AK$3),((RiskSlide!$A$10)/260),$C36,$B36,RiskSlide!$H65)</f>
        <v>29400.550057827149</v>
      </c>
      <c r="AL36">
        <f>PnL(($D$7*(1+AL$2)),$E36,(RiskSlide!$A$7),($G36+AL$3),((RiskSlide!$A$10)/260),$C36,$B36,RiskSlide!$H65)</f>
        <v>-736.75898373027167</v>
      </c>
      <c r="AM36">
        <f>PnL(($D$7*(1+AM$2)),$E36,(RiskSlide!$A$7),($G36+AM$3),((RiskSlide!$A$10)/260),$C36,$B36,RiskSlide!$H65)</f>
        <v>4944.1491125118209</v>
      </c>
      <c r="AN36">
        <f>PnL(($D$7*(1+AN$2)),$E36,(RiskSlide!$A$7),($G36+AN$3),((RiskSlide!$A$10)/260),$C36,$B36,RiskSlide!$H65)</f>
        <v>9233.1998289692929</v>
      </c>
      <c r="AO36">
        <f>PnL(($D$7*(1+AO$2)),$E36,(RiskSlide!$A$7),($G36+AO$3),((RiskSlide!$A$10)/260),$C36,$B36,RiskSlide!$H65)</f>
        <v>9744.9924698522063</v>
      </c>
      <c r="AP36">
        <f>PnL(($D$7*(1+AP$2)),$E36,(RiskSlide!$A$7),($G36+AP$3),((RiskSlide!$A$10)/260),$C36,$B36,RiskSlide!$H65)</f>
        <v>10249.874567415201</v>
      </c>
      <c r="AQ36">
        <f>PnL(($D$7*(1+AQ$2)),$E36,(RiskSlide!$A$7),($G36+AQ$3),((RiskSlide!$A$10)/260),$C36,$B36,RiskSlide!$H65)</f>
        <v>10747.262626576878</v>
      </c>
      <c r="AR36">
        <f>PnL(($D$7*(1+AR$2)),$E36,(RiskSlide!$A$7),($G36+AR$3),((RiskSlide!$A$10)/260),$C36,$B36,RiskSlide!$H65)</f>
        <v>11236.510282094434</v>
      </c>
      <c r="AS36">
        <f>PnL(($D$7*(1+AS$2)),$E36,(RiskSlide!$A$7),($G36+AS$3),((RiskSlide!$A$10)/260),$C36,$B36,RiskSlide!$H65)</f>
        <v>14752.133879858662</v>
      </c>
      <c r="AT36">
        <f>PnL(($D$7*(1+AT$2)),$E36,(RiskSlide!$A$7),($G36+AT$3),((RiskSlide!$A$10)/260),$C36,$B36,RiskSlide!$H65)</f>
        <v>17314.548332552466</v>
      </c>
      <c r="AU36">
        <f>PnL(($D$7*(1+AU$2)),$E36,(RiskSlide!$A$7),($G36+AU$3),((RiskSlide!$A$10)/260),$C36,$B36,RiskSlide!$H65)</f>
        <v>-9706.9355102286063</v>
      </c>
      <c r="AV36">
        <f>PnL(($D$7*(1+AV$2)),$E36,(RiskSlide!$A$7),($G36+AV$3),((RiskSlide!$A$10)/260),$C36,$B36,RiskSlide!$H65)</f>
        <v>-4537.9423819194244</v>
      </c>
      <c r="AW36">
        <f>PnL(($D$7*(1+AW$2)),$E36,(RiskSlide!$A$7),($G36+AW$3),((RiskSlide!$A$10)/260),$C36,$B36,RiskSlide!$H65)</f>
        <v>-835.67220818896431</v>
      </c>
      <c r="AX36">
        <f>PnL(($D$7*(1+AX$2)),$E36,(RiskSlide!$A$7),($G36+AX$3),((RiskSlide!$A$10)/260),$C36,$B36,RiskSlide!$H65)</f>
        <v>-412.40302005975309</v>
      </c>
      <c r="AY36">
        <f>PnL(($D$7*(1+AY$2)),$E36,(RiskSlide!$A$7),($G36+AY$3),((RiskSlide!$A$10)/260),$C36,$B36,RiskSlide!$H65)</f>
        <v>0</v>
      </c>
      <c r="AZ36">
        <f>PnL(($D$7*(1+AZ$2)),$E36,(RiskSlide!$A$7),($G36+AZ$3),((RiskSlide!$A$10)/260),$C36,$B36,RiskSlide!$H65)</f>
        <v>400.77219577564165</v>
      </c>
      <c r="BA36">
        <f>PnL(($D$7*(1+BA$2)),$E36,(RiskSlide!$A$7),($G36+BA$3),((RiskSlide!$A$10)/260),$C36,$B36,RiskSlide!$H65)</f>
        <v>789.09079350796674</v>
      </c>
      <c r="BB36">
        <f>PnL(($D$7*(1+BB$2)),$E36,(RiskSlide!$A$7),($G36+BB$3),((RiskSlide!$A$10)/260),$C36,$B36,RiskSlide!$H65)</f>
        <v>3328.9884057868449</v>
      </c>
      <c r="BC36">
        <f>PnL(($D$7*(1+BC$2)),$E36,(RiskSlide!$A$7),($G36+BC$3),((RiskSlide!$A$10)/260),$C36,$B36,RiskSlide!$H65)</f>
        <v>4558.0614780353244</v>
      </c>
      <c r="BD36">
        <f>PnL(($D$7*(1+BD$2)),$E36,(RiskSlide!$A$7),($G36+BD$3),((RiskSlide!$A$10)/260),$C36,$B36,RiskSlide!$H65)</f>
        <v>-19361.691418410497</v>
      </c>
      <c r="BE36">
        <f>PnL(($D$7*(1+BE$2)),$E36,(RiskSlide!$A$7),($G36+BE$3),((RiskSlide!$A$10)/260),$C36,$B36,RiskSlide!$H65)</f>
        <v>-14798.570422276816</v>
      </c>
      <c r="BF36">
        <f>PnL(($D$7*(1+BF$2)),$E36,(RiskSlide!$A$7),($G36+BF$3),((RiskSlide!$A$10)/260),$C36,$B36,RiskSlide!$H65)</f>
        <v>-11747.947150496315</v>
      </c>
      <c r="BG36">
        <f>PnL(($D$7*(1+BG$2)),$E36,(RiskSlide!$A$7),($G36+BG$3),((RiskSlide!$A$10)/260),$C36,$B36,RiskSlide!$H65)</f>
        <v>-11418.420967117094</v>
      </c>
      <c r="BH36">
        <f>PnL(($D$7*(1+BH$2)),$E36,(RiskSlide!$A$7),($G36+BH$3),((RiskSlide!$A$10)/260),$C36,$B36,RiskSlide!$H65)</f>
        <v>-11102.547984259592</v>
      </c>
      <c r="BI36">
        <f>PnL(($D$7*(1+BI$2)),$E36,(RiskSlide!$A$7),($G36+BI$3),((RiskSlide!$A$10)/260),$C36,$B36,RiskSlide!$H65)</f>
        <v>-10801.040687887018</v>
      </c>
      <c r="BJ36">
        <f>PnL(($D$7*(1+BJ$2)),$E36,(RiskSlide!$A$7),($G36+BJ$3),((RiskSlide!$A$10)/260),$C36,$B36,RiskSlide!$H65)</f>
        <v>-10514.627658564223</v>
      </c>
      <c r="BK36">
        <f>PnL(($D$7*(1+BK$2)),$E36,(RiskSlide!$A$7),($G36+BK$3),((RiskSlide!$A$10)/260),$C36,$B36,RiskSlide!$H65)</f>
        <v>-8849.8244954706024</v>
      </c>
      <c r="BL36">
        <f>PnL(($D$7*(1+BL$2)),$E36,(RiskSlide!$A$7),($G36+BL$3),((RiskSlide!$A$10)/260),$C36,$B36,RiskSlide!$H65)</f>
        <v>-8340.4930230250102</v>
      </c>
      <c r="BM36">
        <f>PnL(($D$7*(1+BM$2)),$E36,(RiskSlide!$A$7),($G36+BM$3),((RiskSlide!$A$10)/260),$C36,$B36,RiskSlide!$H65)</f>
        <v>-29629.918852219907</v>
      </c>
      <c r="BN36">
        <f>PnL(($D$7*(1+BN$2)),$E36,(RiskSlide!$A$7),($G36+BN$3),((RiskSlide!$A$10)/260),$C36,$B36,RiskSlide!$H65)</f>
        <v>-25719.147509851096</v>
      </c>
      <c r="BO36">
        <f>PnL(($D$7*(1+BO$2)),$E36,(RiskSlide!$A$7),($G36+BO$3),((RiskSlide!$A$10)/260),$C36,$B36,RiskSlide!$H65)</f>
        <v>-23316.930747978618</v>
      </c>
      <c r="BP36">
        <f>PnL(($D$7*(1+BP$2)),$E36,(RiskSlide!$A$7),($G36+BP$3),((RiskSlide!$A$10)/260),$C36,$B36,RiskSlide!$H65)</f>
        <v>-23075.210685289916</v>
      </c>
      <c r="BQ36">
        <f>PnL(($D$7*(1+BQ$2)),$E36,(RiskSlide!$A$7),($G36+BQ$3),((RiskSlide!$A$10)/260),$C36,$B36,RiskSlide!$H65)</f>
        <v>-22848.12625870635</v>
      </c>
      <c r="BR36">
        <f>PnL(($D$7*(1+BR$2)),$E36,(RiskSlide!$A$7),($G36+BR$3),((RiskSlide!$A$10)/260),$C36,$B36,RiskSlide!$H65)</f>
        <v>-22636.118876997502</v>
      </c>
      <c r="BS36">
        <f>PnL(($D$7*(1+BS$2)),$E36,(RiskSlide!$A$7),($G36+BS$3),((RiskSlide!$A$10)/260),$C36,$B36,RiskSlide!$H65)</f>
        <v>-22439.588294711437</v>
      </c>
      <c r="BT36">
        <f>PnL(($D$7*(1+BT$2)),$E36,(RiskSlide!$A$7),($G36+BT$3),((RiskSlide!$A$10)/260),$C36,$B36,RiskSlide!$H65)</f>
        <v>-21443.947021470194</v>
      </c>
      <c r="BU36">
        <f>PnL(($D$7*(1+BU$2)),$E36,(RiskSlide!$A$7),($G36+BU$3),((RiskSlide!$A$10)/260),$C36,$B36,RiskSlide!$H65)</f>
        <v>-21257.443917047989</v>
      </c>
      <c r="BV36">
        <f>PnL(($D$7*(1+BV$2)),$E36,(RiskSlide!$A$7),($G36+BV$3),((RiskSlide!$A$10)/260),$C36,$B36,RiskSlide!$H65)</f>
        <v>-125120.31462963374</v>
      </c>
      <c r="BW36">
        <f>PnL(($D$7*(1+BW$2)),$E36,(RiskSlide!$A$7),($G36+BW$3),((RiskSlide!$A$10)/260),$C36,$B36,RiskSlide!$H65)</f>
        <v>-124693.7621899425</v>
      </c>
      <c r="BX36">
        <f>PnL(($D$7*(1+BX$2)),$E36,(RiskSlide!$A$7),($G36+BX$3),((RiskSlide!$A$10)/260),$C36,$B36,RiskSlide!$H65)</f>
        <v>-124612.94563928073</v>
      </c>
      <c r="BY36">
        <f>PnL(($D$7*(1+BY$2)),$E36,(RiskSlide!$A$7),($G36+BY$3),((RiskSlide!$A$10)/260),$C36,$B36,RiskSlide!$H65)</f>
        <v>-124610.30284897605</v>
      </c>
      <c r="BZ36">
        <f>PnL(($D$7*(1+BZ$2)),$E36,(RiskSlide!$A$7),($G36+BZ$3),((RiskSlide!$A$10)/260),$C36,$B36,RiskSlide!$H65)</f>
        <v>-124608.44875259828</v>
      </c>
      <c r="CA36">
        <f>PnL(($D$7*(1+CA$2)),$E36,(RiskSlide!$A$7),($G36+CA$3),((RiskSlide!$A$10)/260),$C36,$B36,RiskSlide!$H65)</f>
        <v>-124607.19309726151</v>
      </c>
      <c r="CB36">
        <f>PnL(($D$7*(1+CB$2)),$E36,(RiskSlide!$A$7),($G36+CB$3),((RiskSlide!$A$10)/260),$C36,$B36,RiskSlide!$H65)</f>
        <v>-124606.3761787893</v>
      </c>
      <c r="CC36">
        <f>PnL(($D$7*(1+CC$2)),$E36,(RiskSlide!$A$7),($G36+CC$3),((RiskSlide!$A$10)/260),$C36,$B36,RiskSlide!$H65)</f>
        <v>-124605.24903280688</v>
      </c>
      <c r="CD36">
        <f>PnL(($D$7*(1+CD$2)),$E36,(RiskSlide!$A$7),($G36+CD$3),((RiskSlide!$A$10)/260),$C36,$B36,RiskSlide!$H65)</f>
        <v>-124605.24816203142</v>
      </c>
      <c r="CE36">
        <f>PnL(($D$7*(1+CE$2)),$E36,(RiskSlide!$A$7),($G36+CE$3),((RiskSlide!$A$10)/260),$C36,$B36,RiskSlide!$H65)</f>
        <v>-253793.61745093978</v>
      </c>
      <c r="CF36">
        <f>PnL(($D$7*(1+CF$2)),$E36,(RiskSlide!$A$7),($G36+CF$3),((RiskSlide!$A$10)/260),$C36,$B36,RiskSlide!$H65)</f>
        <v>-253790.15565439366</v>
      </c>
      <c r="CG36">
        <f>PnL(($D$7*(1+CG$2)),$E36,(RiskSlide!$A$7),($G36+CG$3),((RiskSlide!$A$10)/260),$C36,$B36,RiskSlide!$H65)</f>
        <v>-253790.0983020734</v>
      </c>
      <c r="CH36">
        <f>PnL(($D$7*(1+CH$2)),$E36,(RiskSlide!$A$7),($G36+CH$3),((RiskSlide!$A$10)/260),$C36,$B36,RiskSlide!$H65)</f>
        <v>-253790.09821043722</v>
      </c>
      <c r="CI36">
        <f>PnL(($D$7*(1+CI$2)),$E36,(RiskSlide!$A$7),($G36+CI$3),((RiskSlide!$A$10)/260),$C36,$B36,RiskSlide!$H65)</f>
        <v>-253790.09817718779</v>
      </c>
      <c r="CJ36">
        <f>PnL(($D$7*(1+CJ$2)),$E36,(RiskSlide!$A$7),($G36+CJ$3),((RiskSlide!$A$10)/260),$C36,$B36,RiskSlide!$H65)</f>
        <v>-253790.09816627399</v>
      </c>
      <c r="CK36">
        <f>PnL(($D$7*(1+CK$2)),$E36,(RiskSlide!$A$7),($G36+CK$3),((RiskSlide!$A$10)/260),$C36,$B36,RiskSlide!$H65)</f>
        <v>-253790.09816307665</v>
      </c>
      <c r="CL36">
        <f>PnL(($D$7*(1+CL$2)),$E36,(RiskSlide!$A$7),($G36+CL$3),((RiskSlide!$A$10)/260),$C36,$B36,RiskSlide!$H65)</f>
        <v>-253790.09816203153</v>
      </c>
      <c r="CM36">
        <f>PnL(($D$7*(1+CM$2)),$E36,(RiskSlide!$A$7),($G36+CM$3),((RiskSlide!$A$10)/260),$C36,$B36,RiskSlide!$H65)</f>
        <v>-253790.09816203153</v>
      </c>
    </row>
    <row r="37" spans="1:91" x14ac:dyDescent="0.25">
      <c r="A37" t="s">
        <v>32</v>
      </c>
      <c r="B37">
        <v>18</v>
      </c>
      <c r="C37">
        <v>0</v>
      </c>
      <c r="E37">
        <v>1750</v>
      </c>
      <c r="F37">
        <v>3.5000000000000001E-3</v>
      </c>
      <c r="G37">
        <v>0.15498400000000001</v>
      </c>
      <c r="K37">
        <f>PnL(($D$7*(1+K$2)),$E37,(RiskSlide!$A$7),($G37+K$3),((RiskSlide!$A$10)/260),$C37,$B37,RiskSlide!$H66)</f>
        <v>128807.66771468625</v>
      </c>
      <c r="L37">
        <f>PnL(($D$7*(1+L$2)),$E37,(RiskSlide!$A$7),($G37+L$3),((RiskSlide!$A$10)/260),$C37,$B37,RiskSlide!$H66)</f>
        <v>128769.01230029382</v>
      </c>
      <c r="M37">
        <f>PnL(($D$7*(1+M$2)),$E37,(RiskSlide!$A$7),($G37+M$3),((RiskSlide!$A$10)/260),$C37,$B37,RiskSlide!$H66)</f>
        <v>128766.14924347361</v>
      </c>
      <c r="N37">
        <f>PnL(($D$7*(1+N$2)),$E37,(RiskSlide!$A$7),($G37+N$3),((RiskSlide!$A$10)/260),$C37,$B37,RiskSlide!$H66)</f>
        <v>128766.11721513866</v>
      </c>
      <c r="O37">
        <f>PnL(($D$7*(1+O$2)),$E37,(RiskSlide!$A$7),($G37+O$3),((RiskSlide!$A$10)/260),$C37,$B37,RiskSlide!$H66)</f>
        <v>128766.09967553335</v>
      </c>
      <c r="P37">
        <f>PnL(($D$7*(1+P$2)),$E37,(RiskSlide!$A$7),($G37+P$3),((RiskSlide!$A$10)/260),$C37,$B37,RiskSlide!$H66)</f>
        <v>128766.09062796117</v>
      </c>
      <c r="Q37">
        <f>PnL(($D$7*(1+Q$2)),$E37,(RiskSlide!$A$7),($G37+Q$3),((RiskSlide!$A$10)/260),$C37,$B37,RiskSlide!$H66)</f>
        <v>128766.08626747719</v>
      </c>
      <c r="R37">
        <f>PnL(($D$7*(1+R$2)),$E37,(RiskSlide!$A$7),($G37+R$3),((RiskSlide!$A$10)/260),$C37,$B37,RiskSlide!$H66)</f>
        <v>128766.08310532891</v>
      </c>
      <c r="S37">
        <f>PnL(($D$7*(1+S$2)),$E37,(RiskSlide!$A$7),($G37+S$3),((RiskSlide!$A$10)/260),$C37,$B37,RiskSlide!$H66)</f>
        <v>128766.08310529985</v>
      </c>
      <c r="T37">
        <f>PnL(($D$7*(1+T$2)),$E37,(RiskSlide!$A$7),($G37+T$3),((RiskSlide!$A$10)/260),$C37,$B37,RiskSlide!$H66)</f>
        <v>52292.0745230994</v>
      </c>
      <c r="U37">
        <f>PnL(($D$7*(1+U$2)),$E37,(RiskSlide!$A$7),($G37+U$3),((RiskSlide!$A$10)/260),$C37,$B37,RiskSlide!$H66)</f>
        <v>50353.721736036707</v>
      </c>
      <c r="V37">
        <f>PnL(($D$7*(1+V$2)),$E37,(RiskSlide!$A$7),($G37+V$3),((RiskSlide!$A$10)/260),$C37,$B37,RiskSlide!$H66)</f>
        <v>49281.280823718218</v>
      </c>
      <c r="W37">
        <f>PnL(($D$7*(1+W$2)),$E37,(RiskSlide!$A$7),($G37+W$3),((RiskSlide!$A$10)/260),$C37,$B37,RiskSlide!$H66)</f>
        <v>49182.597250807739</v>
      </c>
      <c r="X37">
        <f>PnL(($D$7*(1+X$2)),$E37,(RiskSlide!$A$7),($G37+X$3),((RiskSlide!$A$10)/260),$C37,$B37,RiskSlide!$H66)</f>
        <v>49092.180906054746</v>
      </c>
      <c r="Y37">
        <f>PnL(($D$7*(1+Y$2)),$E37,(RiskSlide!$A$7),($G37+Y$3),((RiskSlide!$A$10)/260),$C37,$B37,RiskSlide!$H66)</f>
        <v>49010.060226596004</v>
      </c>
      <c r="Z37">
        <f>PnL(($D$7*(1+Z$2)),$E37,(RiskSlide!$A$7),($G37+Z$3),((RiskSlide!$A$10)/260),$C37,$B37,RiskSlide!$H66)</f>
        <v>48936.212192089028</v>
      </c>
      <c r="AA37">
        <f>PnL(($D$7*(1+AA$2)),$E37,(RiskSlide!$A$7),($G37+AA$3),((RiskSlide!$A$10)/260),$C37,$B37,RiskSlide!$H66)</f>
        <v>48617.033047174184</v>
      </c>
      <c r="AB37">
        <f>PnL(($D$7*(1+AB$2)),$E37,(RiskSlide!$A$7),($G37+AB$3),((RiskSlide!$A$10)/260),$C37,$B37,RiskSlide!$H66)</f>
        <v>48582.384243800036</v>
      </c>
      <c r="AC37">
        <f>PnL(($D$7*(1+AC$2)),$E37,(RiskSlide!$A$7),($G37+AC$3),((RiskSlide!$A$10)/260),$C37,$B37,RiskSlide!$H66)</f>
        <v>11389.071264997454</v>
      </c>
      <c r="AD37">
        <f>PnL(($D$7*(1+AD$2)),$E37,(RiskSlide!$A$7),($G37+AD$3),((RiskSlide!$A$10)/260),$C37,$B37,RiskSlide!$H66)</f>
        <v>7631.485190519953</v>
      </c>
      <c r="AE37">
        <f>PnL(($D$7*(1+AE$2)),$E37,(RiskSlide!$A$7),($G37+AE$3),((RiskSlide!$A$10)/260),$C37,$B37,RiskSlide!$H66)</f>
        <v>4690.5408977043007</v>
      </c>
      <c r="AF37">
        <f>PnL(($D$7*(1+AF$2)),$E37,(RiskSlide!$A$7),($G37+AF$3),((RiskSlide!$A$10)/260),$C37,$B37,RiskSlide!$H66)</f>
        <v>4329.3042131907041</v>
      </c>
      <c r="AG37">
        <f>PnL(($D$7*(1+AG$2)),$E37,(RiskSlide!$A$7),($G37+AG$3),((RiskSlide!$A$10)/260),$C37,$B37,RiskSlide!$H66)</f>
        <v>3969.9192751565251</v>
      </c>
      <c r="AH37">
        <f>PnL(($D$7*(1+AH$2)),$E37,(RiskSlide!$A$7),($G37+AH$3),((RiskSlide!$A$10)/260),$C37,$B37,RiskSlide!$H66)</f>
        <v>3612.560449408471</v>
      </c>
      <c r="AI37">
        <f>PnL(($D$7*(1+AI$2)),$E37,(RiskSlide!$A$7),($G37+AI$3),((RiskSlide!$A$10)/260),$C37,$B37,RiskSlide!$H66)</f>
        <v>3257.4242324547467</v>
      </c>
      <c r="AJ37">
        <f>PnL(($D$7*(1+AJ$2)),$E37,(RiskSlide!$A$7),($G37+AJ$3),((RiskSlide!$A$10)/260),$C37,$B37,RiskSlide!$H66)</f>
        <v>530.80339629468085</v>
      </c>
      <c r="AK37">
        <f>PnL(($D$7*(1+AK$2)),$E37,(RiskSlide!$A$7),($G37+AK$3),((RiskSlide!$A$10)/260),$C37,$B37,RiskSlide!$H66)</f>
        <v>-2211.8772772719185</v>
      </c>
      <c r="AL37">
        <f>PnL(($D$7*(1+AL$2)),$E37,(RiskSlide!$A$7),($G37+AL$3),((RiskSlide!$A$10)/260),$C37,$B37,RiskSlide!$H66)</f>
        <v>8475.6686795569003</v>
      </c>
      <c r="AM37">
        <f>PnL(($D$7*(1+AM$2)),$E37,(RiskSlide!$A$7),($G37+AM$3),((RiskSlide!$A$10)/260),$C37,$B37,RiskSlide!$H66)</f>
        <v>4949.5877922343252</v>
      </c>
      <c r="AN37">
        <f>PnL(($D$7*(1+AN$2)),$E37,(RiskSlide!$A$7),($G37+AN$3),((RiskSlide!$A$10)/260),$C37,$B37,RiskSlide!$H66)</f>
        <v>2287.4183820191888</v>
      </c>
      <c r="AO37">
        <f>PnL(($D$7*(1+AO$2)),$E37,(RiskSlide!$A$7),($G37+AO$3),((RiskSlide!$A$10)/260),$C37,$B37,RiskSlide!$H66)</f>
        <v>1969.7539842295896</v>
      </c>
      <c r="AP37">
        <f>PnL(($D$7*(1+AP$2)),$E37,(RiskSlide!$A$7),($G37+AP$3),((RiskSlide!$A$10)/260),$C37,$B37,RiskSlide!$H66)</f>
        <v>1656.378889190438</v>
      </c>
      <c r="AQ37">
        <f>PnL(($D$7*(1+AQ$2)),$E37,(RiskSlide!$A$7),($G37+AQ$3),((RiskSlide!$A$10)/260),$C37,$B37,RiskSlide!$H66)</f>
        <v>1347.655266262808</v>
      </c>
      <c r="AR37">
        <f>PnL(($D$7*(1+AR$2)),$E37,(RiskSlide!$A$7),($G37+AR$3),((RiskSlide!$A$10)/260),$C37,$B37,RiskSlide!$H66)</f>
        <v>1043.9843076658065</v>
      </c>
      <c r="AS37">
        <f>PnL(($D$7*(1+AS$2)),$E37,(RiskSlide!$A$7),($G37+AS$3),((RiskSlide!$A$10)/260),$C37,$B37,RiskSlide!$H66)</f>
        <v>-1138.1268909466769</v>
      </c>
      <c r="AT37">
        <f>PnL(($D$7*(1+AT$2)),$E37,(RiskSlide!$A$7),($G37+AT$3),((RiskSlide!$A$10)/260),$C37,$B37,RiskSlide!$H66)</f>
        <v>-2728.5910339981506</v>
      </c>
      <c r="AU37">
        <f>PnL(($D$7*(1+AU$2)),$E37,(RiskSlide!$A$7),($G37+AU$3),((RiskSlide!$A$10)/260),$C37,$B37,RiskSlide!$H66)</f>
        <v>6024.9944546246525</v>
      </c>
      <c r="AV37">
        <f>PnL(($D$7*(1+AV$2)),$E37,(RiskSlide!$A$7),($G37+AV$3),((RiskSlide!$A$10)/260),$C37,$B37,RiskSlide!$H66)</f>
        <v>2816.6538922260033</v>
      </c>
      <c r="AW37">
        <f>PnL(($D$7*(1+AW$2)),$E37,(RiskSlide!$A$7),($G37+AW$3),((RiskSlide!$A$10)/260),$C37,$B37,RiskSlide!$H66)</f>
        <v>518.69309473797784</v>
      </c>
      <c r="AX37">
        <f>PnL(($D$7*(1+AX$2)),$E37,(RiskSlide!$A$7),($G37+AX$3),((RiskSlide!$A$10)/260),$C37,$B37,RiskSlide!$H66)</f>
        <v>255.97428831289903</v>
      </c>
      <c r="AY37">
        <f>PnL(($D$7*(1+AY$2)),$E37,(RiskSlide!$A$7),($G37+AY$3),((RiskSlide!$A$10)/260),$C37,$B37,RiskSlide!$H66)</f>
        <v>0</v>
      </c>
      <c r="AZ37">
        <f>PnL(($D$7*(1+AZ$2)),$E37,(RiskSlide!$A$7),($G37+AZ$3),((RiskSlide!$A$10)/260),$C37,$B37,RiskSlide!$H66)</f>
        <v>-248.7551559988276</v>
      </c>
      <c r="BA37">
        <f>PnL(($D$7*(1+BA$2)),$E37,(RiskSlide!$A$7),($G37+BA$3),((RiskSlide!$A$10)/260),$C37,$B37,RiskSlide!$H66)</f>
        <v>-489.78049252223741</v>
      </c>
      <c r="BB37">
        <f>PnL(($D$7*(1+BB$2)),$E37,(RiskSlide!$A$7),($G37+BB$3),((RiskSlide!$A$10)/260),$C37,$B37,RiskSlide!$H66)</f>
        <v>-2066.2686656606465</v>
      </c>
      <c r="BC37">
        <f>PnL(($D$7*(1+BC$2)),$E37,(RiskSlide!$A$7),($G37+BC$3),((RiskSlide!$A$10)/260),$C37,$B37,RiskSlide!$H66)</f>
        <v>-2829.1416070563437</v>
      </c>
      <c r="BD37">
        <f>PnL(($D$7*(1+BD$2)),$E37,(RiskSlide!$A$7),($G37+BD$3),((RiskSlide!$A$10)/260),$C37,$B37,RiskSlide!$H66)</f>
        <v>3999.2315700480221</v>
      </c>
      <c r="BE37">
        <f>PnL(($D$7*(1+BE$2)),$E37,(RiskSlide!$A$7),($G37+BE$3),((RiskSlide!$A$10)/260),$C37,$B37,RiskSlide!$H66)</f>
        <v>1166.9495724480612</v>
      </c>
      <c r="BF37">
        <f>PnL(($D$7*(1+BF$2)),$E37,(RiskSlide!$A$7),($G37+BF$3),((RiskSlide!$A$10)/260),$C37,$B37,RiskSlide!$H66)</f>
        <v>-726.54073417454867</v>
      </c>
      <c r="BG37">
        <f>PnL(($D$7*(1+BG$2)),$E37,(RiskSlide!$A$7),($G37+BG$3),((RiskSlide!$A$10)/260),$C37,$B37,RiskSlide!$H66)</f>
        <v>-931.07422730635108</v>
      </c>
      <c r="BH37">
        <f>PnL(($D$7*(1+BH$2)),$E37,(RiskSlide!$A$7),($G37+BH$3),((RiskSlide!$A$10)/260),$C37,$B37,RiskSlide!$H66)</f>
        <v>-1127.1333201146092</v>
      </c>
      <c r="BI37">
        <f>PnL(($D$7*(1+BI$2)),$E37,(RiskSlide!$A$7),($G37+BI$3),((RiskSlide!$A$10)/260),$C37,$B37,RiskSlide!$H66)</f>
        <v>-1314.2757799321203</v>
      </c>
      <c r="BJ37">
        <f>PnL(($D$7*(1+BJ$2)),$E37,(RiskSlide!$A$7),($G37+BJ$3),((RiskSlide!$A$10)/260),$C37,$B37,RiskSlide!$H66)</f>
        <v>-1492.0493843390659</v>
      </c>
      <c r="BK37">
        <f>PnL(($D$7*(1+BK$2)),$E37,(RiskSlide!$A$7),($G37+BK$3),((RiskSlide!$A$10)/260),$C37,$B37,RiskSlide!$H66)</f>
        <v>-2525.3754855695634</v>
      </c>
      <c r="BL37">
        <f>PnL(($D$7*(1+BL$2)),$E37,(RiskSlide!$A$7),($G37+BL$3),((RiskSlide!$A$10)/260),$C37,$B37,RiskSlide!$H66)</f>
        <v>-2841.5122615704413</v>
      </c>
      <c r="BM37">
        <f>PnL(($D$7*(1+BM$2)),$E37,(RiskSlide!$A$7),($G37+BM$3),((RiskSlide!$A$10)/260),$C37,$B37,RiskSlide!$H66)</f>
        <v>2354.2441151711782</v>
      </c>
      <c r="BN37">
        <f>PnL(($D$7*(1+BN$2)),$E37,(RiskSlide!$A$7),($G37+BN$3),((RiskSlide!$A$10)/260),$C37,$B37,RiskSlide!$H66)</f>
        <v>-73.131200781901384</v>
      </c>
      <c r="BO37">
        <f>PnL(($D$7*(1+BO$2)),$E37,(RiskSlide!$A$7),($G37+BO$3),((RiskSlide!$A$10)/260),$C37,$B37,RiskSlide!$H66)</f>
        <v>-1564.1622943578966</v>
      </c>
      <c r="BP37">
        <f>PnL(($D$7*(1+BP$2)),$E37,(RiskSlide!$A$7),($G37+BP$3),((RiskSlide!$A$10)/260),$C37,$B37,RiskSlide!$H66)</f>
        <v>-1714.1954367165567</v>
      </c>
      <c r="BQ37">
        <f>PnL(($D$7*(1+BQ$2)),$E37,(RiskSlide!$A$7),($G37+BQ$3),((RiskSlide!$A$10)/260),$C37,$B37,RiskSlide!$H66)</f>
        <v>-1855.1443911478373</v>
      </c>
      <c r="BR37">
        <f>PnL(($D$7*(1+BR$2)),$E37,(RiskSlide!$A$7),($G37+BR$3),((RiskSlide!$A$10)/260),$C37,$B37,RiskSlide!$H66)</f>
        <v>-1986.7351797946455</v>
      </c>
      <c r="BS37">
        <f>PnL(($D$7*(1+BS$2)),$E37,(RiskSlide!$A$7),($G37+BS$3),((RiskSlide!$A$10)/260),$C37,$B37,RiskSlide!$H66)</f>
        <v>-2108.7196791447295</v>
      </c>
      <c r="BT37">
        <f>PnL(($D$7*(1+BT$2)),$E37,(RiskSlide!$A$7),($G37+BT$3),((RiskSlide!$A$10)/260),$C37,$B37,RiskSlide!$H66)</f>
        <v>-2726.7039177080273</v>
      </c>
      <c r="BU37">
        <f>PnL(($D$7*(1+BU$2)),$E37,(RiskSlide!$A$7),($G37+BU$3),((RiskSlide!$A$10)/260),$C37,$B37,RiskSlide!$H66)</f>
        <v>-2842.4644652805705</v>
      </c>
      <c r="BV37">
        <f>PnL(($D$7*(1+BV$2)),$E37,(RiskSlide!$A$7),($G37+BV$3),((RiskSlide!$A$10)/260),$C37,$B37,RiskSlide!$H66)</f>
        <v>-2522.8150574687884</v>
      </c>
      <c r="BW37">
        <f>PnL(($D$7*(1+BW$2)),$E37,(RiskSlide!$A$7),($G37+BW$3),((RiskSlide!$A$10)/260),$C37,$B37,RiskSlide!$H66)</f>
        <v>-2787.5717441736574</v>
      </c>
      <c r="BX37">
        <f>PnL(($D$7*(1+BX$2)),$E37,(RiskSlide!$A$7),($G37+BX$3),((RiskSlide!$A$10)/260),$C37,$B37,RiskSlide!$H66)</f>
        <v>-2837.7337411360754</v>
      </c>
      <c r="BY37">
        <f>PnL(($D$7*(1+BY$2)),$E37,(RiskSlide!$A$7),($G37+BY$3),((RiskSlide!$A$10)/260),$C37,$B37,RiskSlide!$H66)</f>
        <v>-2839.3740937391522</v>
      </c>
      <c r="BZ37">
        <f>PnL(($D$7*(1+BZ$2)),$E37,(RiskSlide!$A$7),($G37+BZ$3),((RiskSlide!$A$10)/260),$C37,$B37,RiskSlide!$H66)</f>
        <v>-2840.5249121802949</v>
      </c>
      <c r="CA37">
        <f>PnL(($D$7*(1+CA$2)),$E37,(RiskSlide!$A$7),($G37+CA$3),((RiskSlide!$A$10)/260),$C37,$B37,RiskSlide!$H66)</f>
        <v>-2841.3042844581519</v>
      </c>
      <c r="CB37">
        <f>PnL(($D$7*(1+CB$2)),$E37,(RiskSlide!$A$7),($G37+CB$3),((RiskSlide!$A$10)/260),$C37,$B37,RiskSlide!$H66)</f>
        <v>-2841.8113373031106</v>
      </c>
      <c r="CC37">
        <f>PnL(($D$7*(1+CC$2)),$E37,(RiskSlide!$A$7),($G37+CC$3),((RiskSlide!$A$10)/260),$C37,$B37,RiskSlide!$H66)</f>
        <v>-2842.510945154228</v>
      </c>
      <c r="CD37">
        <f>PnL(($D$7*(1+CD$2)),$E37,(RiskSlide!$A$7),($G37+CD$3),((RiskSlide!$A$10)/260),$C37,$B37,RiskSlide!$H66)</f>
        <v>-2842.5114856355831</v>
      </c>
      <c r="CE37">
        <f>PnL(($D$7*(1+CE$2)),$E37,(RiskSlide!$A$7),($G37+CE$3),((RiskSlide!$A$10)/260),$C37,$B37,RiskSlide!$H66)</f>
        <v>-2840.3270994166805</v>
      </c>
      <c r="CF37">
        <f>PnL(($D$7*(1+CF$2)),$E37,(RiskSlide!$A$7),($G37+CF$3),((RiskSlide!$A$10)/260),$C37,$B37,RiskSlide!$H66)</f>
        <v>-2842.4758007213445</v>
      </c>
      <c r="CG37">
        <f>PnL(($D$7*(1+CG$2)),$E37,(RiskSlide!$A$7),($G37+CG$3),((RiskSlide!$A$10)/260),$C37,$B37,RiskSlide!$H66)</f>
        <v>-2842.5113987133773</v>
      </c>
      <c r="CH37">
        <f>PnL(($D$7*(1+CH$2)),$E37,(RiskSlide!$A$7),($G37+CH$3),((RiskSlide!$A$10)/260),$C37,$B37,RiskSlide!$H66)</f>
        <v>-2842.5114555905739</v>
      </c>
      <c r="CI37">
        <f>PnL(($D$7*(1+CI$2)),$E37,(RiskSlide!$A$7),($G37+CI$3),((RiskSlide!$A$10)/260),$C37,$B37,RiskSlide!$H66)</f>
        <v>-2842.511476228311</v>
      </c>
      <c r="CJ37">
        <f>PnL(($D$7*(1+CJ$2)),$E37,(RiskSlide!$A$7),($G37+CJ$3),((RiskSlide!$A$10)/260),$C37,$B37,RiskSlide!$H66)</f>
        <v>-2842.5114830024258</v>
      </c>
      <c r="CK37">
        <f>PnL(($D$7*(1+CK$2)),$E37,(RiskSlide!$A$7),($G37+CK$3),((RiskSlide!$A$10)/260),$C37,$B37,RiskSlide!$H66)</f>
        <v>-2842.5114849868214</v>
      </c>
      <c r="CL37">
        <f>PnL(($D$7*(1+CL$2)),$E37,(RiskSlide!$A$7),($G37+CL$3),((RiskSlide!$A$10)/260),$C37,$B37,RiskSlide!$H66)</f>
        <v>-2842.5114856355831</v>
      </c>
      <c r="CM37">
        <f>PnL(($D$7*(1+CM$2)),$E37,(RiskSlide!$A$7),($G37+CM$3),((RiskSlide!$A$10)/260),$C37,$B37,RiskSlide!$H66)</f>
        <v>-2842.5114856355831</v>
      </c>
    </row>
    <row r="38" spans="1:91" x14ac:dyDescent="0.25">
      <c r="A38" t="s">
        <v>33</v>
      </c>
      <c r="B38">
        <v>8</v>
      </c>
      <c r="C38">
        <v>0</v>
      </c>
      <c r="E38">
        <v>1755</v>
      </c>
      <c r="F38">
        <v>3.5000000000000001E-3</v>
      </c>
      <c r="G38">
        <v>0.15185899999999999</v>
      </c>
      <c r="K38">
        <f>PnL(($D$7*(1+K$2)),$E38,(RiskSlide!$A$7),($G38+K$3),((RiskSlide!$A$10)/260),$C38,$B38,RiskSlide!$H67)</f>
        <v>58928.993316630091</v>
      </c>
      <c r="L38">
        <f>PnL(($D$7*(1+L$2)),$E38,(RiskSlide!$A$7),($G38+L$3),((RiskSlide!$A$10)/260),$C38,$B38,RiskSlide!$H67)</f>
        <v>58917.687776951767</v>
      </c>
      <c r="M38">
        <f>PnL(($D$7*(1+M$2)),$E38,(RiskSlide!$A$7),($G38+M$3),((RiskSlide!$A$10)/260),$C38,$B38,RiskSlide!$H67)</f>
        <v>58917.038742258475</v>
      </c>
      <c r="N38">
        <f>PnL(($D$7*(1+N$2)),$E38,(RiskSlide!$A$7),($G38+N$3),((RiskSlide!$A$10)/260),$C38,$B38,RiskSlide!$H67)</f>
        <v>58917.033578465976</v>
      </c>
      <c r="O38">
        <f>PnL(($D$7*(1+O$2)),$E38,(RiskSlide!$A$7),($G38+O$3),((RiskSlide!$A$10)/260),$C38,$B38,RiskSlide!$H67)</f>
        <v>58917.030964673242</v>
      </c>
      <c r="P38">
        <f>PnL(($D$7*(1+P$2)),$E38,(RiskSlide!$A$7),($G38+P$3),((RiskSlide!$A$10)/260),$C38,$B38,RiskSlide!$H67)</f>
        <v>58917.029729829548</v>
      </c>
      <c r="Q38">
        <f>PnL(($D$7*(1+Q$2)),$E38,(RiskSlide!$A$7),($G38+Q$3),((RiskSlide!$A$10)/260),$C38,$B38,RiskSlide!$H67)</f>
        <v>58917.029190529931</v>
      </c>
      <c r="R38">
        <f>PnL(($D$7*(1+R$2)),$E38,(RiskSlide!$A$7),($G38+R$3),((RiskSlide!$A$10)/260),$C38,$B38,RiskSlide!$H67)</f>
        <v>58917.028864043983</v>
      </c>
      <c r="S38">
        <f>PnL(($D$7*(1+S$2)),$E38,(RiskSlide!$A$7),($G38+S$3),((RiskSlide!$A$10)/260),$C38,$B38,RiskSlide!$H67)</f>
        <v>58917.028864043343</v>
      </c>
      <c r="T38">
        <f>PnL(($D$7*(1+T$2)),$E38,(RiskSlide!$A$7),($G38+T$3),((RiskSlide!$A$10)/260),$C38,$B38,RiskSlide!$H67)</f>
        <v>24606.472126876612</v>
      </c>
      <c r="U38">
        <f>PnL(($D$7*(1+U$2)),$E38,(RiskSlide!$A$7),($G38+U$3),((RiskSlide!$A$10)/260),$C38,$B38,RiskSlide!$H67)</f>
        <v>23859.192130166572</v>
      </c>
      <c r="V38">
        <f>PnL(($D$7*(1+V$2)),$E38,(RiskSlide!$A$7),($G38+V$3),((RiskSlide!$A$10)/260),$C38,$B38,RiskSlide!$H67)</f>
        <v>23479.561729851663</v>
      </c>
      <c r="W38">
        <f>PnL(($D$7*(1+W$2)),$E38,(RiskSlide!$A$7),($G38+W$3),((RiskSlide!$A$10)/260),$C38,$B38,RiskSlide!$H67)</f>
        <v>23447.234169762829</v>
      </c>
      <c r="X38">
        <f>PnL(($D$7*(1+X$2)),$E38,(RiskSlide!$A$7),($G38+X$3),((RiskSlide!$A$10)/260),$C38,$B38,RiskSlide!$H67)</f>
        <v>23418.258199578191</v>
      </c>
      <c r="Y38">
        <f>PnL(($D$7*(1+Y$2)),$E38,(RiskSlide!$A$7),($G38+Y$3),((RiskSlide!$A$10)/260),$C38,$B38,RiskSlide!$H67)</f>
        <v>23392.574709037741</v>
      </c>
      <c r="Z38">
        <f>PnL(($D$7*(1+Z$2)),$E38,(RiskSlide!$A$7),($G38+Z$3),((RiskSlide!$A$10)/260),$C38,$B38,RiskSlide!$H67)</f>
        <v>23370.097665828031</v>
      </c>
      <c r="AA38">
        <f>PnL(($D$7*(1+AA$2)),$E38,(RiskSlide!$A$7),($G38+AA$3),((RiskSlide!$A$10)/260),$C38,$B38,RiskSlide!$H67)</f>
        <v>23285.362296322979</v>
      </c>
      <c r="AB38">
        <f>PnL(($D$7*(1+AB$2)),$E38,(RiskSlide!$A$7),($G38+AB$3),((RiskSlide!$A$10)/260),$C38,$B38,RiskSlide!$H67)</f>
        <v>23279.828871844235</v>
      </c>
      <c r="AC38">
        <f>PnL(($D$7*(1+AC$2)),$E38,(RiskSlide!$A$7),($G38+AC$3),((RiskSlide!$A$10)/260),$C38,$B38,RiskSlide!$H67)</f>
        <v>5488.8490093416067</v>
      </c>
      <c r="AD38">
        <f>PnL(($D$7*(1+AD$2)),$E38,(RiskSlide!$A$7),($G38+AD$3),((RiskSlide!$A$10)/260),$C38,$B38,RiskSlide!$H67)</f>
        <v>3777.5048095457578</v>
      </c>
      <c r="AE38">
        <f>PnL(($D$7*(1+AE$2)),$E38,(RiskSlide!$A$7),($G38+AE$3),((RiskSlide!$A$10)/260),$C38,$B38,RiskSlide!$H67)</f>
        <v>2421.4344441887761</v>
      </c>
      <c r="AF38">
        <f>PnL(($D$7*(1+AF$2)),$E38,(RiskSlide!$A$7),($G38+AF$3),((RiskSlide!$A$10)/260),$C38,$B38,RiskSlide!$H67)</f>
        <v>2253.2232335128128</v>
      </c>
      <c r="AG38">
        <f>PnL(($D$7*(1+AG$2)),$E38,(RiskSlide!$A$7),($G38+AG$3),((RiskSlide!$A$10)/260),$C38,$B38,RiskSlide!$H67)</f>
        <v>2085.3933633664155</v>
      </c>
      <c r="AH38">
        <f>PnL(($D$7*(1+AH$2)),$E38,(RiskSlide!$A$7),($G38+AH$3),((RiskSlide!$A$10)/260),$C38,$B38,RiskSlide!$H67)</f>
        <v>1917.982848637871</v>
      </c>
      <c r="AI38">
        <f>PnL(($D$7*(1+AI$2)),$E38,(RiskSlide!$A$7),($G38+AI$3),((RiskSlide!$A$10)/260),$C38,$B38,RiskSlide!$H67)</f>
        <v>1751.0348779127298</v>
      </c>
      <c r="AJ38">
        <f>PnL(($D$7*(1+AJ$2)),$E38,(RiskSlide!$A$7),($G38+AJ$3),((RiskSlide!$A$10)/260),$C38,$B38,RiskSlide!$H67)</f>
        <v>439.93587535453571</v>
      </c>
      <c r="AK38">
        <f>PnL(($D$7*(1+AK$2)),$E38,(RiskSlide!$A$7),($G38+AK$3),((RiskSlide!$A$10)/260),$C38,$B38,RiskSlide!$H67)</f>
        <v>-1038.3060567275834</v>
      </c>
      <c r="AL38">
        <f>PnL(($D$7*(1+AL$2)),$E38,(RiskSlide!$A$7),($G38+AL$3),((RiskSlide!$A$10)/260),$C38,$B38,RiskSlide!$H67)</f>
        <v>4075.6046614717661</v>
      </c>
      <c r="AM38">
        <f>PnL(($D$7*(1+AM$2)),$E38,(RiskSlide!$A$7),($G38+AM$3),((RiskSlide!$A$10)/260),$C38,$B38,RiskSlide!$H67)</f>
        <v>2443.0203831921744</v>
      </c>
      <c r="AN38">
        <f>PnL(($D$7*(1+AN$2)),$E38,(RiskSlide!$A$7),($G38+AN$3),((RiskSlide!$A$10)/260),$C38,$B38,RiskSlide!$H67)</f>
        <v>1184.5373525899277</v>
      </c>
      <c r="AO38">
        <f>PnL(($D$7*(1+AO$2)),$E38,(RiskSlide!$A$7),($G38+AO$3),((RiskSlide!$A$10)/260),$C38,$B38,RiskSlide!$H67)</f>
        <v>1031.8664043653143</v>
      </c>
      <c r="AP38">
        <f>PnL(($D$7*(1+AP$2)),$E38,(RiskSlide!$A$7),($G38+AP$3),((RiskSlide!$A$10)/260),$C38,$B38,RiskSlide!$H67)</f>
        <v>880.53584082597354</v>
      </c>
      <c r="AQ38">
        <f>PnL(($D$7*(1+AQ$2)),$E38,(RiskSlide!$A$7),($G38+AQ$3),((RiskSlide!$A$10)/260),$C38,$B38,RiskSlide!$H67)</f>
        <v>730.66898536230838</v>
      </c>
      <c r="AR38">
        <f>PnL(($D$7*(1+AR$2)),$E38,(RiskSlide!$A$7),($G38+AR$3),((RiskSlide!$A$10)/260),$C38,$B38,RiskSlide!$H67)</f>
        <v>582.40417406673259</v>
      </c>
      <c r="AS38">
        <f>PnL(($D$7*(1+AS$2)),$E38,(RiskSlide!$A$7),($G38+AS$3),((RiskSlide!$A$10)/260),$C38,$B38,RiskSlide!$H67)</f>
        <v>-522.30298716656307</v>
      </c>
      <c r="AT38">
        <f>PnL(($D$7*(1+AT$2)),$E38,(RiskSlide!$A$7),($G38+AT$3),((RiskSlide!$A$10)/260),$C38,$B38,RiskSlide!$H67)</f>
        <v>-1467.6903553883903</v>
      </c>
      <c r="AU38">
        <f>PnL(($D$7*(1+AU$2)),$E38,(RiskSlide!$A$7),($G38+AU$3),((RiskSlide!$A$10)/260),$C38,$B38,RiskSlide!$H67)</f>
        <v>2877.591129827556</v>
      </c>
      <c r="AV38">
        <f>PnL(($D$7*(1+AV$2)),$E38,(RiskSlide!$A$7),($G38+AV$3),((RiskSlide!$A$10)/260),$C38,$B38,RiskSlide!$H67)</f>
        <v>1368.9780894339492</v>
      </c>
      <c r="AW38">
        <f>PnL(($D$7*(1+AW$2)),$E38,(RiskSlide!$A$7),($G38+AW$3),((RiskSlide!$A$10)/260),$C38,$B38,RiskSlide!$H67)</f>
        <v>257.43373230727684</v>
      </c>
      <c r="AX38">
        <f>PnL(($D$7*(1+AX$2)),$E38,(RiskSlide!$A$7),($G38+AX$3),((RiskSlide!$A$10)/260),$C38,$B38,RiskSlide!$H67)</f>
        <v>127.45683841997106</v>
      </c>
      <c r="AY38">
        <f>PnL(($D$7*(1+AY$2)),$E38,(RiskSlide!$A$7),($G38+AY$3),((RiskSlide!$A$10)/260),$C38,$B38,RiskSlide!$H67)</f>
        <v>0</v>
      </c>
      <c r="AZ38">
        <f>PnL(($D$7*(1+AZ$2)),$E38,(RiskSlide!$A$7),($G38+AZ$3),((RiskSlide!$A$10)/260),$C38,$B38,RiskSlide!$H67)</f>
        <v>-124.7359585617005</v>
      </c>
      <c r="BA38">
        <f>PnL(($D$7*(1+BA$2)),$E38,(RiskSlide!$A$7),($G38+BA$3),((RiskSlide!$A$10)/260),$C38,$B38,RiskSlide!$H67)</f>
        <v>-246.53092962541905</v>
      </c>
      <c r="BB38">
        <f>PnL(($D$7*(1+BB$2)),$E38,(RiskSlide!$A$7),($G38+BB$3),((RiskSlide!$A$10)/260),$C38,$B38,RiskSlide!$H67)</f>
        <v>-1080.8491432672781</v>
      </c>
      <c r="BC38">
        <f>PnL(($D$7*(1+BC$2)),$E38,(RiskSlide!$A$7),($G38+BC$3),((RiskSlide!$A$10)/260),$C38,$B38,RiskSlide!$H67)</f>
        <v>-1562.0173085771426</v>
      </c>
      <c r="BD38">
        <f>PnL(($D$7*(1+BD$2)),$E38,(RiskSlide!$A$7),($G38+BD$3),((RiskSlide!$A$10)/260),$C38,$B38,RiskSlide!$H67)</f>
        <v>1879.7366187655825</v>
      </c>
      <c r="BE38">
        <f>PnL(($D$7*(1+BE$2)),$E38,(RiskSlide!$A$7),($G38+BE$3),((RiskSlide!$A$10)/260),$C38,$B38,RiskSlide!$H67)</f>
        <v>528.57698491236533</v>
      </c>
      <c r="BF38">
        <f>PnL(($D$7*(1+BF$2)),$E38,(RiskSlide!$A$7),($G38+BF$3),((RiskSlide!$A$10)/260),$C38,$B38,RiskSlide!$H67)</f>
        <v>-406.77517445203648</v>
      </c>
      <c r="BG38">
        <f>PnL(($D$7*(1+BG$2)),$E38,(RiskSlide!$A$7),($G38+BG$3),((RiskSlide!$A$10)/260),$C38,$B38,RiskSlide!$H67)</f>
        <v>-510.67269664836203</v>
      </c>
      <c r="BH38">
        <f>PnL(($D$7*(1+BH$2)),$E38,(RiskSlide!$A$7),($G38+BH$3),((RiskSlide!$A$10)/260),$C38,$B38,RiskSlide!$H67)</f>
        <v>-611.04828233642365</v>
      </c>
      <c r="BI38">
        <f>PnL(($D$7*(1+BI$2)),$E38,(RiskSlide!$A$7),($G38+BI$3),((RiskSlide!$A$10)/260),$C38,$B38,RiskSlide!$H67)</f>
        <v>-707.68044640934704</v>
      </c>
      <c r="BJ38">
        <f>PnL(($D$7*(1+BJ$2)),$E38,(RiskSlide!$A$7),($G38+BJ$3),((RiskSlide!$A$10)/260),$C38,$B38,RiskSlide!$H67)</f>
        <v>-800.33581720102802</v>
      </c>
      <c r="BK38">
        <f>PnL(($D$7*(1+BK$2)),$E38,(RiskSlide!$A$7),($G38+BK$3),((RiskSlide!$A$10)/260),$C38,$B38,RiskSlide!$H67)</f>
        <v>-1367.96872070272</v>
      </c>
      <c r="BL38">
        <f>PnL(($D$7*(1+BL$2)),$E38,(RiskSlide!$A$7),($G38+BL$3),((RiskSlide!$A$10)/260),$C38,$B38,RiskSlide!$H67)</f>
        <v>-1574.5377770916839</v>
      </c>
      <c r="BM38">
        <f>PnL(($D$7*(1+BM$2)),$E38,(RiskSlide!$A$7),($G38+BM$3),((RiskSlide!$A$10)/260),$C38,$B38,RiskSlide!$H67)</f>
        <v>1063.4124048561944</v>
      </c>
      <c r="BN38">
        <f>PnL(($D$7*(1+BN$2)),$E38,(RiskSlide!$A$7),($G38+BN$3),((RiskSlide!$A$10)/260),$C38,$B38,RiskSlide!$H67)</f>
        <v>-110.24166676124878</v>
      </c>
      <c r="BO38">
        <f>PnL(($D$7*(1+BO$2)),$E38,(RiskSlide!$A$7),($G38+BO$3),((RiskSlide!$A$10)/260),$C38,$B38,RiskSlide!$H67)</f>
        <v>-860.97709548702142</v>
      </c>
      <c r="BP38">
        <f>PnL(($D$7*(1+BP$2)),$E38,(RiskSlide!$A$7),($G38+BP$3),((RiskSlide!$A$10)/260),$C38,$B38,RiskSlide!$H67)</f>
        <v>-939.0299017043958</v>
      </c>
      <c r="BQ38">
        <f>PnL(($D$7*(1+BQ$2)),$E38,(RiskSlide!$A$7),($G38+BQ$3),((RiskSlide!$A$10)/260),$C38,$B38,RiskSlide!$H67)</f>
        <v>-1013.0184839584103</v>
      </c>
      <c r="BR38">
        <f>PnL(($D$7*(1+BR$2)),$E38,(RiskSlide!$A$7),($G38+BR$3),((RiskSlide!$A$10)/260),$C38,$B38,RiskSlide!$H67)</f>
        <v>-1082.7726538576371</v>
      </c>
      <c r="BS38">
        <f>PnL(($D$7*(1+BS$2)),$E38,(RiskSlide!$A$7),($G38+BS$3),((RiskSlide!$A$10)/260),$C38,$B38,RiskSlide!$H67)</f>
        <v>-1148.1264932696035</v>
      </c>
      <c r="BT38">
        <f>PnL(($D$7*(1+BT$2)),$E38,(RiskSlide!$A$7),($G38+BT$3),((RiskSlide!$A$10)/260),$C38,$B38,RiskSlide!$H67)</f>
        <v>-1498.0960446242393</v>
      </c>
      <c r="BU38">
        <f>PnL(($D$7*(1+BU$2)),$E38,(RiskSlide!$A$7),($G38+BU$3),((RiskSlide!$A$10)/260),$C38,$B38,RiskSlide!$H67)</f>
        <v>-1575.5250287604918</v>
      </c>
      <c r="BV38">
        <f>PnL(($D$7*(1+BV$2)),$E38,(RiskSlide!$A$7),($G38+BV$3),((RiskSlide!$A$10)/260),$C38,$B38,RiskSlide!$H67)</f>
        <v>-1407.5067088279809</v>
      </c>
      <c r="BW38">
        <f>PnL(($D$7*(1+BW$2)),$E38,(RiskSlide!$A$7),($G38+BW$3),((RiskSlide!$A$10)/260),$C38,$B38,RiskSlide!$H67)</f>
        <v>-1545.1806874530953</v>
      </c>
      <c r="BX38">
        <f>PnL(($D$7*(1+BX$2)),$E38,(RiskSlide!$A$7),($G38+BX$3),((RiskSlide!$A$10)/260),$C38,$B38,RiskSlide!$H67)</f>
        <v>-1572.7698341039356</v>
      </c>
      <c r="BY38">
        <f>PnL(($D$7*(1+BY$2)),$E38,(RiskSlide!$A$7),($G38+BY$3),((RiskSlide!$A$10)/260),$C38,$B38,RiskSlide!$H67)</f>
        <v>-1573.7163791198168</v>
      </c>
      <c r="BZ38">
        <f>PnL(($D$7*(1+BZ$2)),$E38,(RiskSlide!$A$7),($G38+BZ$3),((RiskSlide!$A$10)/260),$C38,$B38,RiskSlide!$H67)</f>
        <v>-1574.3869623054036</v>
      </c>
      <c r="CA38">
        <f>PnL(($D$7*(1+CA$2)),$E38,(RiskSlide!$A$7),($G38+CA$3),((RiskSlide!$A$10)/260),$C38,$B38,RiskSlide!$H67)</f>
        <v>-1574.8456715255084</v>
      </c>
      <c r="CB38">
        <f>PnL(($D$7*(1+CB$2)),$E38,(RiskSlide!$A$7),($G38+CB$3),((RiskSlide!$A$10)/260),$C38,$B38,RiskSlide!$H67)</f>
        <v>-1575.1471565035567</v>
      </c>
      <c r="CC38">
        <f>PnL(($D$7*(1+CC$2)),$E38,(RiskSlide!$A$7),($G38+CC$3),((RiskSlide!$A$10)/260),$C38,$B38,RiskSlide!$H67)</f>
        <v>-1575.5718149056268</v>
      </c>
      <c r="CD38">
        <f>PnL(($D$7*(1+CD$2)),$E38,(RiskSlide!$A$7),($G38+CD$3),((RiskSlide!$A$10)/260),$C38,$B38,RiskSlide!$H67)</f>
        <v>-1575.5721536306964</v>
      </c>
      <c r="CE38">
        <f>PnL(($D$7*(1+CE$2)),$E38,(RiskSlide!$A$7),($G38+CE$3),((RiskSlide!$A$10)/260),$C38,$B38,RiskSlide!$H67)</f>
        <v>-1574.412114672966</v>
      </c>
      <c r="CF38">
        <f>PnL(($D$7*(1+CF$2)),$E38,(RiskSlide!$A$7),($G38+CF$3),((RiskSlide!$A$10)/260),$C38,$B38,RiskSlide!$H67)</f>
        <v>-1575.5527195394486</v>
      </c>
      <c r="CG38">
        <f>PnL(($D$7*(1+CG$2)),$E38,(RiskSlide!$A$7),($G38+CG$3),((RiskSlide!$A$10)/260),$C38,$B38,RiskSlide!$H67)</f>
        <v>-1575.5721070088605</v>
      </c>
      <c r="CH38">
        <f>PnL(($D$7*(1+CH$2)),$E38,(RiskSlide!$A$7),($G38+CH$3),((RiskSlide!$A$10)/260),$C38,$B38,RiskSlide!$H67)</f>
        <v>-1575.5721376572876</v>
      </c>
      <c r="CI38">
        <f>PnL(($D$7*(1+CI$2)),$E38,(RiskSlide!$A$7),($G38+CI$3),((RiskSlide!$A$10)/260),$C38,$B38,RiskSlide!$H67)</f>
        <v>-1575.5721486873665</v>
      </c>
      <c r="CJ38">
        <f>PnL(($D$7*(1+CJ$2)),$E38,(RiskSlide!$A$7),($G38+CJ$3),((RiskSlide!$A$10)/260),$C38,$B38,RiskSlide!$H67)</f>
        <v>-1575.5721522678839</v>
      </c>
      <c r="CK38">
        <f>PnL(($D$7*(1+CK$2)),$E38,(RiskSlide!$A$7),($G38+CK$3),((RiskSlide!$A$10)/260),$C38,$B38,RiskSlide!$H67)</f>
        <v>-1575.5721533014237</v>
      </c>
      <c r="CL38">
        <f>PnL(($D$7*(1+CL$2)),$E38,(RiskSlide!$A$7),($G38+CL$3),((RiskSlide!$A$10)/260),$C38,$B38,RiskSlide!$H67)</f>
        <v>-1575.5721536306964</v>
      </c>
      <c r="CM38">
        <f>PnL(($D$7*(1+CM$2)),$E38,(RiskSlide!$A$7),($G38+CM$3),((RiskSlide!$A$10)/260),$C38,$B38,RiskSlide!$H67)</f>
        <v>-1575.5721536306964</v>
      </c>
    </row>
    <row r="39" spans="1:91" x14ac:dyDescent="0.25">
      <c r="A39" t="s">
        <v>34</v>
      </c>
      <c r="B39">
        <v>-2</v>
      </c>
      <c r="C39">
        <v>1</v>
      </c>
      <c r="E39">
        <v>1760</v>
      </c>
      <c r="F39">
        <v>3.5000000000000001E-3</v>
      </c>
      <c r="G39">
        <v>0.148921</v>
      </c>
      <c r="K39">
        <f>PnL(($D$7*(1+K$2)),$E39,(RiskSlide!$A$7),($G39+K$3),((RiskSlide!$A$10)/260),$C39,$B39,RiskSlide!$H68)</f>
        <v>2684.1458725731636</v>
      </c>
      <c r="L39">
        <f>PnL(($D$7*(1+L$2)),$E39,(RiskSlide!$A$7),($G39+L$3),((RiskSlide!$A$10)/260),$C39,$B39,RiskSlide!$H68)</f>
        <v>2685.9716657454096</v>
      </c>
      <c r="M39">
        <f>PnL(($D$7*(1+M$2)),$E39,(RiskSlide!$A$7),($G39+M$3),((RiskSlide!$A$10)/260),$C39,$B39,RiskSlide!$H68)</f>
        <v>2686.0517642485243</v>
      </c>
      <c r="N39">
        <f>PnL(($D$7*(1+N$2)),$E39,(RiskSlide!$A$7),($G39+N$3),((RiskSlide!$A$10)/260),$C39,$B39,RiskSlide!$H68)</f>
        <v>2686.0522025514815</v>
      </c>
      <c r="O39">
        <f>PnL(($D$7*(1+O$2)),$E39,(RiskSlide!$A$7),($G39+O$3),((RiskSlide!$A$10)/260),$C39,$B39,RiskSlide!$H68)</f>
        <v>2686.0524062539225</v>
      </c>
      <c r="P39">
        <f>PnL(($D$7*(1+P$2)),$E39,(RiskSlide!$A$7),($G39+P$3),((RiskSlide!$A$10)/260),$C39,$B39,RiskSlide!$H68)</f>
        <v>2686.0524937222249</v>
      </c>
      <c r="Q39">
        <f>PnL(($D$7*(1+Q$2)),$E39,(RiskSlide!$A$7),($G39+Q$3),((RiskSlide!$A$10)/260),$C39,$B39,RiskSlide!$H68)</f>
        <v>2686.0525280364341</v>
      </c>
      <c r="R39">
        <f>PnL(($D$7*(1+R$2)),$E39,(RiskSlide!$A$7),($G39+R$3),((RiskSlide!$A$10)/260),$C39,$B39,RiskSlide!$H68)</f>
        <v>2686.0525453236687</v>
      </c>
      <c r="S39">
        <f>PnL(($D$7*(1+S$2)),$E39,(RiskSlide!$A$7),($G39+S$3),((RiskSlide!$A$10)/260),$C39,$B39,RiskSlide!$H68)</f>
        <v>2686.0525453236733</v>
      </c>
      <c r="T39">
        <f>PnL(($D$7*(1+T$2)),$E39,(RiskSlide!$A$7),($G39+T$3),((RiskSlide!$A$10)/260),$C39,$B39,RiskSlide!$H68)</f>
        <v>2421.9546450745725</v>
      </c>
      <c r="U39">
        <f>PnL(($D$7*(1+U$2)),$E39,(RiskSlide!$A$7),($G39+U$3),((RiskSlide!$A$10)/260),$C39,$B39,RiskSlide!$H68)</f>
        <v>2581.4472839609307</v>
      </c>
      <c r="V39">
        <f>PnL(($D$7*(1+V$2)),$E39,(RiskSlide!$A$7),($G39+V$3),((RiskSlide!$A$10)/260),$C39,$B39,RiskSlide!$H68)</f>
        <v>2655.0259377222269</v>
      </c>
      <c r="W39">
        <f>PnL(($D$7*(1+W$2)),$E39,(RiskSlide!$A$7),($G39+W$3),((RiskSlide!$A$10)/260),$C39,$B39,RiskSlide!$H68)</f>
        <v>2660.7512534421667</v>
      </c>
      <c r="X39">
        <f>PnL(($D$7*(1+X$2)),$E39,(RiskSlide!$A$7),($G39+X$3),((RiskSlide!$A$10)/260),$C39,$B39,RiskSlide!$H68)</f>
        <v>2665.7544432490181</v>
      </c>
      <c r="Y39">
        <f>PnL(($D$7*(1+Y$2)),$E39,(RiskSlide!$A$7),($G39+Y$3),((RiskSlide!$A$10)/260),$C39,$B39,RiskSlide!$H68)</f>
        <v>2670.0656792958471</v>
      </c>
      <c r="Z39">
        <f>PnL(($D$7*(1+Z$2)),$E39,(RiskSlide!$A$7),($G39+Z$3),((RiskSlide!$A$10)/260),$C39,$B39,RiskSlide!$H68)</f>
        <v>2673.7215389680327</v>
      </c>
      <c r="AA39">
        <f>PnL(($D$7*(1+AA$2)),$E39,(RiskSlide!$A$7),($G39+AA$3),((RiskSlide!$A$10)/260),$C39,$B39,RiskSlide!$H68)</f>
        <v>2685.6143406768574</v>
      </c>
      <c r="AB39">
        <f>PnL(($D$7*(1+AB$2)),$E39,(RiskSlide!$A$7),($G39+AB$3),((RiskSlide!$A$10)/260),$C39,$B39,RiskSlide!$H68)</f>
        <v>2686.0525453123068</v>
      </c>
      <c r="AC39">
        <f>PnL(($D$7*(1+AC$2)),$E39,(RiskSlide!$A$7),($G39+AC$3),((RiskSlide!$A$10)/260),$C39,$B39,RiskSlide!$H68)</f>
        <v>302.78880117913332</v>
      </c>
      <c r="AD39">
        <f>PnL(($D$7*(1+AD$2)),$E39,(RiskSlide!$A$7),($G39+AD$3),((RiskSlide!$A$10)/260),$C39,$B39,RiskSlide!$H68)</f>
        <v>737.10857843143458</v>
      </c>
      <c r="AE39">
        <f>PnL(($D$7*(1+AE$2)),$E39,(RiskSlide!$A$7),($G39+AE$3),((RiskSlide!$A$10)/260),$C39,$B39,RiskSlide!$H68)</f>
        <v>1083.8656178680026</v>
      </c>
      <c r="AF39">
        <f>PnL(($D$7*(1+AF$2)),$E39,(RiskSlide!$A$7),($G39+AF$3),((RiskSlide!$A$10)/260),$C39,$B39,RiskSlide!$H68)</f>
        <v>1127.1391440946331</v>
      </c>
      <c r="AG39">
        <f>PnL(($D$7*(1+AG$2)),$E39,(RiskSlide!$A$7),($G39+AG$3),((RiskSlide!$A$10)/260),$C39,$B39,RiskSlide!$H68)</f>
        <v>1170.3915287225414</v>
      </c>
      <c r="AH39">
        <f>PnL(($D$7*(1+AH$2)),$E39,(RiskSlide!$A$7),($G39+AH$3),((RiskSlide!$A$10)/260),$C39,$B39,RiskSlide!$H68)</f>
        <v>1213.6205628127527</v>
      </c>
      <c r="AI39">
        <f>PnL(($D$7*(1+AI$2)),$E39,(RiskSlide!$A$7),($G39+AI$3),((RiskSlide!$A$10)/260),$C39,$B39,RiskSlide!$H68)</f>
        <v>1256.8237223149822</v>
      </c>
      <c r="AJ39">
        <f>PnL(($D$7*(1+AJ$2)),$E39,(RiskSlide!$A$7),($G39+AJ$3),((RiskSlide!$A$10)/260),$C39,$B39,RiskSlide!$H68)</f>
        <v>1601.0484024784546</v>
      </c>
      <c r="AK39">
        <f>PnL(($D$7*(1+AK$2)),$E39,(RiskSlide!$A$7),($G39+AK$3),((RiskSlide!$A$10)/260),$C39,$B39,RiskSlide!$H68)</f>
        <v>2021.1905387928937</v>
      </c>
      <c r="AL39">
        <f>PnL(($D$7*(1+AL$2)),$E39,(RiskSlide!$A$7),($G39+AL$3),((RiskSlide!$A$10)/260),$C39,$B39,RiskSlide!$H68)</f>
        <v>-203.83559631429762</v>
      </c>
      <c r="AM39">
        <f>PnL(($D$7*(1+AM$2)),$E39,(RiskSlide!$A$7),($G39+AM$3),((RiskSlide!$A$10)/260),$C39,$B39,RiskSlide!$H68)</f>
        <v>217.79449968064455</v>
      </c>
      <c r="AN39">
        <f>PnL(($D$7*(1+AN$2)),$E39,(RiskSlide!$A$7),($G39+AN$3),((RiskSlide!$A$10)/260),$C39,$B39,RiskSlide!$H68)</f>
        <v>548.34578665856952</v>
      </c>
      <c r="AO39">
        <f>PnL(($D$7*(1+AO$2)),$E39,(RiskSlide!$A$7),($G39+AO$3),((RiskSlide!$A$10)/260),$C39,$B39,RiskSlide!$H68)</f>
        <v>588.99242574620985</v>
      </c>
      <c r="AP39">
        <f>PnL(($D$7*(1+AP$2)),$E39,(RiskSlide!$A$7),($G39+AP$3),((RiskSlide!$A$10)/260),$C39,$B39,RiskSlide!$H68)</f>
        <v>629.44188285414384</v>
      </c>
      <c r="AQ39">
        <f>PnL(($D$7*(1+AQ$2)),$E39,(RiskSlide!$A$7),($G39+AQ$3),((RiskSlide!$A$10)/260),$C39,$B39,RiskSlide!$H68)</f>
        <v>669.67470295360272</v>
      </c>
      <c r="AR39">
        <f>PnL(($D$7*(1+AR$2)),$E39,(RiskSlide!$A$7),($G39+AR$3),((RiskSlide!$A$10)/260),$C39,$B39,RiskSlide!$H68)</f>
        <v>709.66883469168351</v>
      </c>
      <c r="AS39">
        <f>PnL(($D$7*(1+AS$2)),$E39,(RiskSlide!$A$7),($G39+AS$3),((RiskSlide!$A$10)/260),$C39,$B39,RiskSlide!$H68)</f>
        <v>1017.0761707608108</v>
      </c>
      <c r="AT39">
        <f>PnL(($D$7*(1+AT$2)),$E39,(RiskSlide!$A$7),($G39+AT$3),((RiskSlide!$A$10)/260),$C39,$B39,RiskSlide!$H68)</f>
        <v>1323.4520657674693</v>
      </c>
      <c r="AU39">
        <f>PnL(($D$7*(1+AU$2)),$E39,(RiskSlide!$A$7),($G39+AU$3),((RiskSlide!$A$10)/260),$C39,$B39,RiskSlide!$H68)</f>
        <v>-766.3513786440717</v>
      </c>
      <c r="AV39">
        <f>PnL(($D$7*(1+AV$2)),$E39,(RiskSlide!$A$7),($G39+AV$3),((RiskSlide!$A$10)/260),$C39,$B39,RiskSlide!$H68)</f>
        <v>-370.26886008352449</v>
      </c>
      <c r="AW39">
        <f>PnL(($D$7*(1+AW$2)),$E39,(RiskSlide!$A$7),($G39+AW$3),((RiskSlide!$A$10)/260),$C39,$B39,RiskSlide!$H68)</f>
        <v>-70.951280618623969</v>
      </c>
      <c r="AX39">
        <f>PnL(($D$7*(1+AX$2)),$E39,(RiskSlide!$A$7),($G39+AX$3),((RiskSlide!$A$10)/260),$C39,$B39,RiskSlide!$H68)</f>
        <v>-35.232482212154537</v>
      </c>
      <c r="AY39">
        <f>PnL(($D$7*(1+AY$2)),$E39,(RiskSlide!$A$7),($G39+AY$3),((RiskSlide!$A$10)/260),$C39,$B39,RiskSlide!$H68)</f>
        <v>0</v>
      </c>
      <c r="AZ39">
        <f>PnL(($D$7*(1+AZ$2)),$E39,(RiskSlide!$A$7),($G39+AZ$3),((RiskSlide!$A$10)/260),$C39,$B39,RiskSlide!$H68)</f>
        <v>34.70316322866438</v>
      </c>
      <c r="BA39">
        <f>PnL(($D$7*(1+BA$2)),$E39,(RiskSlide!$A$7),($G39+BA$3),((RiskSlide!$A$10)/260),$C39,$B39,RiskSlide!$H68)</f>
        <v>68.829132655105241</v>
      </c>
      <c r="BB39">
        <f>PnL(($D$7*(1+BB$2)),$E39,(RiskSlide!$A$7),($G39+BB$3),((RiskSlide!$A$10)/260),$C39,$B39,RiskSlide!$H68)</f>
        <v>313.12498239651632</v>
      </c>
      <c r="BC39">
        <f>PnL(($D$7*(1+BC$2)),$E39,(RiskSlide!$A$7),($G39+BC$3),((RiskSlide!$A$10)/260),$C39,$B39,RiskSlide!$H68)</f>
        <v>482.45530728072481</v>
      </c>
      <c r="BD39">
        <f>PnL(($D$7*(1+BD$2)),$E39,(RiskSlide!$A$7),($G39+BD$3),((RiskSlide!$A$10)/260),$C39,$B39,RiskSlide!$H68)</f>
        <v>-1381.5436204258958</v>
      </c>
      <c r="BE39">
        <f>PnL(($D$7*(1+BE$2)),$E39,(RiskSlide!$A$7),($G39+BE$3),((RiskSlide!$A$10)/260),$C39,$B39,RiskSlide!$H68)</f>
        <v>-1021.2704465857087</v>
      </c>
      <c r="BF39">
        <f>PnL(($D$7*(1+BF$2)),$E39,(RiskSlide!$A$7),($G39+BF$3),((RiskSlide!$A$10)/260),$C39,$B39,RiskSlide!$H68)</f>
        <v>-763.54717670624268</v>
      </c>
      <c r="BG39">
        <f>PnL(($D$7*(1+BG$2)),$E39,(RiskSlide!$A$7),($G39+BG$3),((RiskSlide!$A$10)/260),$C39,$B39,RiskSlide!$H68)</f>
        <v>-734.15200881797773</v>
      </c>
      <c r="BH39">
        <f>PnL(($D$7*(1+BH$2)),$E39,(RiskSlide!$A$7),($G39+BH$3),((RiskSlide!$A$10)/260),$C39,$B39,RiskSlide!$H68)</f>
        <v>-705.53866174018367</v>
      </c>
      <c r="BI39">
        <f>PnL(($D$7*(1+BI$2)),$E39,(RiskSlide!$A$7),($G39+BI$3),((RiskSlide!$A$10)/260),$C39,$B39,RiskSlide!$H68)</f>
        <v>-677.76447009136973</v>
      </c>
      <c r="BJ39">
        <f>PnL(($D$7*(1+BJ$2)),$E39,(RiskSlide!$A$7),($G39+BJ$3),((RiskSlide!$A$10)/260),$C39,$B39,RiskSlide!$H68)</f>
        <v>-650.89131096328856</v>
      </c>
      <c r="BK39">
        <f>PnL(($D$7*(1+BK$2)),$E39,(RiskSlide!$A$7),($G39+BK$3),((RiskSlide!$A$10)/260),$C39,$B39,RiskSlide!$H68)</f>
        <v>-477.29002588300773</v>
      </c>
      <c r="BL39">
        <f>PnL(($D$7*(1+BL$2)),$E39,(RiskSlide!$A$7),($G39+BL$3),((RiskSlide!$A$10)/260),$C39,$B39,RiskSlide!$H68)</f>
        <v>-401.01173405803365</v>
      </c>
      <c r="BM39">
        <f>PnL(($D$7*(1+BM$2)),$E39,(RiskSlide!$A$7),($G39+BM$3),((RiskSlide!$A$10)/260),$C39,$B39,RiskSlide!$H68)</f>
        <v>-2045.1198589797741</v>
      </c>
      <c r="BN39">
        <f>PnL(($D$7*(1+BN$2)),$E39,(RiskSlide!$A$7),($G39+BN$3),((RiskSlide!$A$10)/260),$C39,$B39,RiskSlide!$H68)</f>
        <v>-1727.6166998873123</v>
      </c>
      <c r="BO39">
        <f>PnL(($D$7*(1+BO$2)),$E39,(RiskSlide!$A$7),($G39+BO$3),((RiskSlide!$A$10)/260),$C39,$B39,RiskSlide!$H68)</f>
        <v>-1516.3663628712129</v>
      </c>
      <c r="BP39">
        <f>PnL(($D$7*(1+BP$2)),$E39,(RiskSlide!$A$7),($G39+BP$3),((RiskSlide!$A$10)/260),$C39,$B39,RiskSlide!$H68)</f>
        <v>-1493.688979229114</v>
      </c>
      <c r="BQ39">
        <f>PnL(($D$7*(1+BQ$2)),$E39,(RiskSlide!$A$7),($G39+BQ$3),((RiskSlide!$A$10)/260),$C39,$B39,RiskSlide!$H68)</f>
        <v>-1471.9994698439223</v>
      </c>
      <c r="BR39">
        <f>PnL(($D$7*(1+BR$2)),$E39,(RiskSlide!$A$7),($G39+BR$3),((RiskSlide!$A$10)/260),$C39,$B39,RiskSlide!$H68)</f>
        <v>-1451.3508321784229</v>
      </c>
      <c r="BS39">
        <f>PnL(($D$7*(1+BS$2)),$E39,(RiskSlide!$A$7),($G39+BS$3),((RiskSlide!$A$10)/260),$C39,$B39,RiskSlide!$H68)</f>
        <v>-1431.797167148261</v>
      </c>
      <c r="BT39">
        <f>PnL(($D$7*(1+BT$2)),$E39,(RiskSlide!$A$7),($G39+BT$3),((RiskSlide!$A$10)/260),$C39,$B39,RiskSlide!$H68)</f>
        <v>-1320.8146319611842</v>
      </c>
      <c r="BU39">
        <f>PnL(($D$7*(1+BU$2)),$E39,(RiskSlide!$A$7),($G39+BU$3),((RiskSlide!$A$10)/260),$C39,$B39,RiskSlide!$H68)</f>
        <v>-1291.314160495358</v>
      </c>
      <c r="BV39">
        <f>PnL(($D$7*(1+BV$2)),$E39,(RiskSlide!$A$7),($G39+BV$3),((RiskSlide!$A$10)/260),$C39,$B39,RiskSlide!$H68)</f>
        <v>-8468.6581480569876</v>
      </c>
      <c r="BW39">
        <f>PnL(($D$7*(1+BW$2)),$E39,(RiskSlide!$A$7),($G39+BW$3),((RiskSlide!$A$10)/260),$C39,$B39,RiskSlide!$H68)</f>
        <v>-8428.2699168460567</v>
      </c>
      <c r="BX39">
        <f>PnL(($D$7*(1+BX$2)),$E39,(RiskSlide!$A$7),($G39+BX$3),((RiskSlide!$A$10)/260),$C39,$B39,RiskSlide!$H68)</f>
        <v>-8419.6657616841767</v>
      </c>
      <c r="BY39">
        <f>PnL(($D$7*(1+BY$2)),$E39,(RiskSlide!$A$7),($G39+BY$3),((RiskSlide!$A$10)/260),$C39,$B39,RiskSlide!$H68)</f>
        <v>-8419.3541067279511</v>
      </c>
      <c r="BZ39">
        <f>PnL(($D$7*(1+BZ$2)),$E39,(RiskSlide!$A$7),($G39+BZ$3),((RiskSlide!$A$10)/260),$C39,$B39,RiskSlide!$H68)</f>
        <v>-8419.1307483230958</v>
      </c>
      <c r="CA39">
        <f>PnL(($D$7*(1+CA$2)),$E39,(RiskSlide!$A$7),($G39+CA$3),((RiskSlide!$A$10)/260),$C39,$B39,RiskSlide!$H68)</f>
        <v>-8418.9761114289468</v>
      </c>
      <c r="CB39">
        <f>PnL(($D$7*(1+CB$2)),$E39,(RiskSlide!$A$7),($G39+CB$3),((RiskSlide!$A$10)/260),$C39,$B39,RiskSlide!$H68)</f>
        <v>-8418.8732005894508</v>
      </c>
      <c r="CC39">
        <f>PnL(($D$7*(1+CC$2)),$E39,(RiskSlide!$A$7),($G39+CC$3),((RiskSlide!$A$10)/260),$C39,$B39,RiskSlide!$H68)</f>
        <v>-8418.7242502592198</v>
      </c>
      <c r="CD39">
        <f>PnL(($D$7*(1+CD$2)),$E39,(RiskSlide!$A$7),($G39+CD$3),((RiskSlide!$A$10)/260),$C39,$B39,RiskSlide!$H68)</f>
        <v>-8418.7241226098886</v>
      </c>
      <c r="CE39">
        <f>PnL(($D$7*(1+CE$2)),$E39,(RiskSlide!$A$7),($G39+CE$3),((RiskSlide!$A$10)/260),$C39,$B39,RiskSlide!$H68)</f>
        <v>-17328.375062264466</v>
      </c>
      <c r="CF39">
        <f>PnL(($D$7*(1+CF$2)),$E39,(RiskSlide!$A$7),($G39+CF$3),((RiskSlide!$A$10)/260),$C39,$B39,RiskSlide!$H68)</f>
        <v>-17328.030218160278</v>
      </c>
      <c r="CG39">
        <f>PnL(($D$7*(1+CG$2)),$E39,(RiskSlide!$A$7),($G39+CG$3),((RiskSlide!$A$10)/260),$C39,$B39,RiskSlide!$H68)</f>
        <v>-17328.024137288368</v>
      </c>
      <c r="CH39">
        <f>PnL(($D$7*(1+CH$2)),$E39,(RiskSlide!$A$7),($G39+CH$3),((RiskSlide!$A$10)/260),$C39,$B39,RiskSlide!$H68)</f>
        <v>-17328.02412761264</v>
      </c>
      <c r="CI39">
        <f>PnL(($D$7*(1+CI$2)),$E39,(RiskSlide!$A$7),($G39+CI$3),((RiskSlide!$A$10)/260),$C39,$B39,RiskSlide!$H68)</f>
        <v>-17328.024124146192</v>
      </c>
      <c r="CJ39">
        <f>PnL(($D$7*(1+CJ$2)),$E39,(RiskSlide!$A$7),($G39+CJ$3),((RiskSlide!$A$10)/260),$C39,$B39,RiskSlide!$H68)</f>
        <v>-17328.024123028899</v>
      </c>
      <c r="CK39">
        <f>PnL(($D$7*(1+CK$2)),$E39,(RiskSlide!$A$7),($G39+CK$3),((RiskSlide!$A$10)/260),$C39,$B39,RiskSlide!$H68)</f>
        <v>-17328.024122709667</v>
      </c>
      <c r="CL39">
        <f>PnL(($D$7*(1+CL$2)),$E39,(RiskSlide!$A$7),($G39+CL$3),((RiskSlide!$A$10)/260),$C39,$B39,RiskSlide!$H68)</f>
        <v>-17328.024122609895</v>
      </c>
      <c r="CM39">
        <f>PnL(($D$7*(1+CM$2)),$E39,(RiskSlide!$A$7),($G39+CM$3),((RiskSlide!$A$10)/260),$C39,$B39,RiskSlide!$H68)</f>
        <v>-17328.024122609895</v>
      </c>
    </row>
    <row r="40" spans="1:91" x14ac:dyDescent="0.25">
      <c r="A40" t="s">
        <v>35</v>
      </c>
      <c r="B40">
        <v>10</v>
      </c>
      <c r="C40">
        <v>0</v>
      </c>
      <c r="E40">
        <v>1760</v>
      </c>
      <c r="F40">
        <v>3.5000000000000001E-3</v>
      </c>
      <c r="G40">
        <v>0.148921</v>
      </c>
      <c r="K40">
        <f>PnL(($D$7*(1+K$2)),$E40,(RiskSlide!$A$7),($G40+K$3),((RiskSlide!$A$10)/260),$C40,$B40,RiskSlide!$H69)</f>
        <v>75672.270637134119</v>
      </c>
      <c r="L40">
        <f>PnL(($D$7*(1+L$2)),$E40,(RiskSlide!$A$7),($G40+L$3),((RiskSlide!$A$10)/260),$C40,$B40,RiskSlide!$H69)</f>
        <v>75663.141671272766</v>
      </c>
      <c r="M40">
        <f>PnL(($D$7*(1+M$2)),$E40,(RiskSlide!$A$7),($G40+M$3),((RiskSlide!$A$10)/260),$C40,$B40,RiskSlide!$H69)</f>
        <v>75662.741178757278</v>
      </c>
      <c r="N40">
        <f>PnL(($D$7*(1+N$2)),$E40,(RiskSlide!$A$7),($G40+N$3),((RiskSlide!$A$10)/260),$C40,$B40,RiskSlide!$H69)</f>
        <v>75662.738987242483</v>
      </c>
      <c r="O40">
        <f>PnL(($D$7*(1+O$2)),$E40,(RiskSlide!$A$7),($G40+O$3),((RiskSlide!$A$10)/260),$C40,$B40,RiskSlide!$H69)</f>
        <v>75662.737968730173</v>
      </c>
      <c r="P40">
        <f>PnL(($D$7*(1+P$2)),$E40,(RiskSlide!$A$7),($G40+P$3),((RiskSlide!$A$10)/260),$C40,$B40,RiskSlide!$H69)</f>
        <v>75662.737531388731</v>
      </c>
      <c r="Q40">
        <f>PnL(($D$7*(1+Q$2)),$E40,(RiskSlide!$A$7),($G40+Q$3),((RiskSlide!$A$10)/260),$C40,$B40,RiskSlide!$H69)</f>
        <v>75662.73735981778</v>
      </c>
      <c r="R40">
        <f>PnL(($D$7*(1+R$2)),$E40,(RiskSlide!$A$7),($G40+R$3),((RiskSlide!$A$10)/260),$C40,$B40,RiskSlide!$H69)</f>
        <v>75662.737273381572</v>
      </c>
      <c r="S40">
        <f>PnL(($D$7*(1+S$2)),$E40,(RiskSlide!$A$7),($G40+S$3),((RiskSlide!$A$10)/260),$C40,$B40,RiskSlide!$H69)</f>
        <v>75662.737273381572</v>
      </c>
      <c r="T40">
        <f>PnL(($D$7*(1+T$2)),$E40,(RiskSlide!$A$7),($G40+T$3),((RiskSlide!$A$10)/260),$C40,$B40,RiskSlide!$H69)</f>
        <v>32436.726774627088</v>
      </c>
      <c r="U40">
        <f>PnL(($D$7*(1+U$2)),$E40,(RiskSlide!$A$7),($G40+U$3),((RiskSlide!$A$10)/260),$C40,$B40,RiskSlide!$H69)</f>
        <v>31639.263580195206</v>
      </c>
      <c r="V40">
        <f>PnL(($D$7*(1+V$2)),$E40,(RiskSlide!$A$7),($G40+V$3),((RiskSlide!$A$10)/260),$C40,$B40,RiskSlide!$H69)</f>
        <v>31271.370311388837</v>
      </c>
      <c r="W40">
        <f>PnL(($D$7*(1+W$2)),$E40,(RiskSlide!$A$7),($G40+W$3),((RiskSlide!$A$10)/260),$C40,$B40,RiskSlide!$H69)</f>
        <v>31242.743732789193</v>
      </c>
      <c r="X40">
        <f>PnL(($D$7*(1+X$2)),$E40,(RiskSlide!$A$7),($G40+X$3),((RiskSlide!$A$10)/260),$C40,$B40,RiskSlide!$H69)</f>
        <v>31217.727783754839</v>
      </c>
      <c r="Y40">
        <f>PnL(($D$7*(1+Y$2)),$E40,(RiskSlide!$A$7),($G40+Y$3),((RiskSlide!$A$10)/260),$C40,$B40,RiskSlide!$H69)</f>
        <v>31196.171603520695</v>
      </c>
      <c r="Z40">
        <f>PnL(($D$7*(1+Z$2)),$E40,(RiskSlide!$A$7),($G40+Z$3),((RiskSlide!$A$10)/260),$C40,$B40,RiskSlide!$H69)</f>
        <v>31177.892305159814</v>
      </c>
      <c r="AA40">
        <f>PnL(($D$7*(1+AA$2)),$E40,(RiskSlide!$A$7),($G40+AA$3),((RiskSlide!$A$10)/260),$C40,$B40,RiskSlide!$H69)</f>
        <v>31118.428296615632</v>
      </c>
      <c r="AB40">
        <f>PnL(($D$7*(1+AB$2)),$E40,(RiskSlide!$A$7),($G40+AB$3),((RiskSlide!$A$10)/260),$C40,$B40,RiskSlide!$H69)</f>
        <v>31116.237273438484</v>
      </c>
      <c r="AC40">
        <f>PnL(($D$7*(1+AC$2)),$E40,(RiskSlide!$A$7),($G40+AC$3),((RiskSlide!$A$10)/260),$C40,$B40,RiskSlide!$H69)</f>
        <v>7395.355994104335</v>
      </c>
      <c r="AD40">
        <f>PnL(($D$7*(1+AD$2)),$E40,(RiskSlide!$A$7),($G40+AD$3),((RiskSlide!$A$10)/260),$C40,$B40,RiskSlide!$H69)</f>
        <v>5223.7571078427718</v>
      </c>
      <c r="AE40">
        <f>PnL(($D$7*(1+AE$2)),$E40,(RiskSlide!$A$7),($G40+AE$3),((RiskSlide!$A$10)/260),$C40,$B40,RiskSlide!$H69)</f>
        <v>3489.971910660046</v>
      </c>
      <c r="AF40">
        <f>PnL(($D$7*(1+AF$2)),$E40,(RiskSlide!$A$7),($G40+AF$3),((RiskSlide!$A$10)/260),$C40,$B40,RiskSlide!$H69)</f>
        <v>3273.6042795267795</v>
      </c>
      <c r="AG40">
        <f>PnL(($D$7*(1+AG$2)),$E40,(RiskSlide!$A$7),($G40+AG$3),((RiskSlide!$A$10)/260),$C40,$B40,RiskSlide!$H69)</f>
        <v>3057.3423563872948</v>
      </c>
      <c r="AH40">
        <f>PnL(($D$7*(1+AH$2)),$E40,(RiskSlide!$A$7),($G40+AH$3),((RiskSlide!$A$10)/260),$C40,$B40,RiskSlide!$H69)</f>
        <v>2841.1971859362384</v>
      </c>
      <c r="AI40">
        <f>PnL(($D$7*(1+AI$2)),$E40,(RiskSlide!$A$7),($G40+AI$3),((RiskSlide!$A$10)/260),$C40,$B40,RiskSlide!$H69)</f>
        <v>2625.1813884249768</v>
      </c>
      <c r="AJ40">
        <f>PnL(($D$7*(1+AJ$2)),$E40,(RiskSlide!$A$7),($G40+AJ$3),((RiskSlide!$A$10)/260),$C40,$B40,RiskSlide!$H69)</f>
        <v>904.05798760772882</v>
      </c>
      <c r="AK40">
        <f>PnL(($D$7*(1+AK$2)),$E40,(RiskSlide!$A$7),($G40+AK$3),((RiskSlide!$A$10)/260),$C40,$B40,RiskSlide!$H69)</f>
        <v>-1196.6526939645803</v>
      </c>
      <c r="AL40">
        <f>PnL(($D$7*(1+AL$2)),$E40,(RiskSlide!$A$7),($G40+AL$3),((RiskSlide!$A$10)/260),$C40,$B40,RiskSlide!$H69)</f>
        <v>5473.827981571475</v>
      </c>
      <c r="AM40">
        <f>PnL(($D$7*(1+AM$2)),$E40,(RiskSlide!$A$7),($G40+AM$3),((RiskSlide!$A$10)/260),$C40,$B40,RiskSlide!$H69)</f>
        <v>3365.6775015966505</v>
      </c>
      <c r="AN40">
        <f>PnL(($D$7*(1+AN$2)),$E40,(RiskSlide!$A$7),($G40+AN$3),((RiskSlide!$A$10)/260),$C40,$B40,RiskSlide!$H69)</f>
        <v>1712.9210667071391</v>
      </c>
      <c r="AO40">
        <f>PnL(($D$7*(1+AO$2)),$E40,(RiskSlide!$A$7),($G40+AO$3),((RiskSlide!$A$10)/260),$C40,$B40,RiskSlide!$H69)</f>
        <v>1509.6878712689943</v>
      </c>
      <c r="AP40">
        <f>PnL(($D$7*(1+AP$2)),$E40,(RiskSlide!$A$7),($G40+AP$3),((RiskSlide!$A$10)/260),$C40,$B40,RiskSlide!$H69)</f>
        <v>1307.4405857292675</v>
      </c>
      <c r="AQ40">
        <f>PnL(($D$7*(1+AQ$2)),$E40,(RiskSlide!$A$7),($G40+AQ$3),((RiskSlide!$A$10)/260),$C40,$B40,RiskSlide!$H69)</f>
        <v>1106.2764852318594</v>
      </c>
      <c r="AR40">
        <f>PnL(($D$7*(1+AR$2)),$E40,(RiskSlide!$A$7),($G40+AR$3),((RiskSlide!$A$10)/260),$C40,$B40,RiskSlide!$H69)</f>
        <v>906.30582654151226</v>
      </c>
      <c r="AS40">
        <f>PnL(($D$7*(1+AS$2)),$E40,(RiskSlide!$A$7),($G40+AS$3),((RiskSlide!$A$10)/260),$C40,$B40,RiskSlide!$H69)</f>
        <v>-630.73085380412408</v>
      </c>
      <c r="AT40">
        <f>PnL(($D$7*(1+AT$2)),$E40,(RiskSlide!$A$7),($G40+AT$3),((RiskSlide!$A$10)/260),$C40,$B40,RiskSlide!$H69)</f>
        <v>-2162.6103288374311</v>
      </c>
      <c r="AU40">
        <f>PnL(($D$7*(1+AU$2)),$E40,(RiskSlide!$A$7),($G40+AU$3),((RiskSlide!$A$10)/260),$C40,$B40,RiskSlide!$H69)</f>
        <v>3831.756893220273</v>
      </c>
      <c r="AV40">
        <f>PnL(($D$7*(1+AV$2)),$E40,(RiskSlide!$A$7),($G40+AV$3),((RiskSlide!$A$10)/260),$C40,$B40,RiskSlide!$H69)</f>
        <v>1851.344300417594</v>
      </c>
      <c r="AW40">
        <f>PnL(($D$7*(1+AW$2)),$E40,(RiskSlide!$A$7),($G40+AW$3),((RiskSlide!$A$10)/260),$C40,$B40,RiskSlide!$H69)</f>
        <v>354.75640309300616</v>
      </c>
      <c r="AX40">
        <f>PnL(($D$7*(1+AX$2)),$E40,(RiskSlide!$A$7),($G40+AX$3),((RiskSlide!$A$10)/260),$C40,$B40,RiskSlide!$H69)</f>
        <v>176.16241106071584</v>
      </c>
      <c r="AY40">
        <f>PnL(($D$7*(1+AY$2)),$E40,(RiskSlide!$A$7),($G40+AY$3),((RiskSlide!$A$10)/260),$C40,$B40,RiskSlide!$H69)</f>
        <v>0</v>
      </c>
      <c r="AZ40">
        <f>PnL(($D$7*(1+AZ$2)),$E40,(RiskSlide!$A$7),($G40+AZ$3),((RiskSlide!$A$10)/260),$C40,$B40,RiskSlide!$H69)</f>
        <v>-173.51581614337874</v>
      </c>
      <c r="BA40">
        <f>PnL(($D$7*(1+BA$2)),$E40,(RiskSlide!$A$7),($G40+BA$3),((RiskSlide!$A$10)/260),$C40,$B40,RiskSlide!$H69)</f>
        <v>-344.14566327546936</v>
      </c>
      <c r="BB40">
        <f>PnL(($D$7*(1+BB$2)),$E40,(RiskSlide!$A$7),($G40+BB$3),((RiskSlide!$A$10)/260),$C40,$B40,RiskSlide!$H69)</f>
        <v>-1565.6249119826384</v>
      </c>
      <c r="BC40">
        <f>PnL(($D$7*(1+BC$2)),$E40,(RiskSlide!$A$7),($G40+BC$3),((RiskSlide!$A$10)/260),$C40,$B40,RiskSlide!$H69)</f>
        <v>-2412.2765364037627</v>
      </c>
      <c r="BD40">
        <f>PnL(($D$7*(1+BD$2)),$E40,(RiskSlide!$A$7),($G40+BD$3),((RiskSlide!$A$10)/260),$C40,$B40,RiskSlide!$H69)</f>
        <v>2453.068102129464</v>
      </c>
      <c r="BE40">
        <f>PnL(($D$7*(1+BE$2)),$E40,(RiskSlide!$A$7),($G40+BE$3),((RiskSlide!$A$10)/260),$C40,$B40,RiskSlide!$H69)</f>
        <v>651.70223292858509</v>
      </c>
      <c r="BF40">
        <f>PnL(($D$7*(1+BF$2)),$E40,(RiskSlide!$A$7),($G40+BF$3),((RiskSlide!$A$10)/260),$C40,$B40,RiskSlide!$H69)</f>
        <v>-636.91411646874485</v>
      </c>
      <c r="BG40">
        <f>PnL(($D$7*(1+BG$2)),$E40,(RiskSlide!$A$7),($G40+BG$3),((RiskSlide!$A$10)/260),$C40,$B40,RiskSlide!$H69)</f>
        <v>-783.88995591004118</v>
      </c>
      <c r="BH40">
        <f>PnL(($D$7*(1+BH$2)),$E40,(RiskSlide!$A$7),($G40+BH$3),((RiskSlide!$A$10)/260),$C40,$B40,RiskSlide!$H69)</f>
        <v>-926.95669129906832</v>
      </c>
      <c r="BI40">
        <f>PnL(($D$7*(1+BI$2)),$E40,(RiskSlide!$A$7),($G40+BI$3),((RiskSlide!$A$10)/260),$C40,$B40,RiskSlide!$H69)</f>
        <v>-1065.8276495431664</v>
      </c>
      <c r="BJ40">
        <f>PnL(($D$7*(1+BJ$2)),$E40,(RiskSlide!$A$7),($G40+BJ$3),((RiskSlide!$A$10)/260),$C40,$B40,RiskSlide!$H69)</f>
        <v>-1200.1934451835439</v>
      </c>
      <c r="BK40">
        <f>PnL(($D$7*(1+BK$2)),$E40,(RiskSlide!$A$7),($G40+BK$3),((RiskSlide!$A$10)/260),$C40,$B40,RiskSlide!$H69)</f>
        <v>-2068.1998705849765</v>
      </c>
      <c r="BL40">
        <f>PnL(($D$7*(1+BL$2)),$E40,(RiskSlide!$A$7),($G40+BL$3),((RiskSlide!$A$10)/260),$C40,$B40,RiskSlide!$H69)</f>
        <v>-2449.5913297097795</v>
      </c>
      <c r="BM40">
        <f>PnL(($D$7*(1+BM$2)),$E40,(RiskSlide!$A$7),($G40+BM$3),((RiskSlide!$A$10)/260),$C40,$B40,RiskSlide!$H69)</f>
        <v>1316.2992948986698</v>
      </c>
      <c r="BN40">
        <f>PnL(($D$7*(1+BN$2)),$E40,(RiskSlide!$A$7),($G40+BN$3),((RiskSlide!$A$10)/260),$C40,$B40,RiskSlide!$H69)</f>
        <v>-271.21650056344038</v>
      </c>
      <c r="BO40">
        <f>PnL(($D$7*(1+BO$2)),$E40,(RiskSlide!$A$7),($G40+BO$3),((RiskSlide!$A$10)/260),$C40,$B40,RiskSlide!$H69)</f>
        <v>-1327.468185644193</v>
      </c>
      <c r="BP40">
        <f>PnL(($D$7*(1+BP$2)),$E40,(RiskSlide!$A$7),($G40+BP$3),((RiskSlide!$A$10)/260),$C40,$B40,RiskSlide!$H69)</f>
        <v>-1440.8551038545738</v>
      </c>
      <c r="BQ40">
        <f>PnL(($D$7*(1+BQ$2)),$E40,(RiskSlide!$A$7),($G40+BQ$3),((RiskSlide!$A$10)/260),$C40,$B40,RiskSlide!$H69)</f>
        <v>-1549.3026507804898</v>
      </c>
      <c r="BR40">
        <f>PnL(($D$7*(1+BR$2)),$E40,(RiskSlide!$A$7),($G40+BR$3),((RiskSlide!$A$10)/260),$C40,$B40,RiskSlide!$H69)</f>
        <v>-1652.5458391080151</v>
      </c>
      <c r="BS40">
        <f>PnL(($D$7*(1+BS$2)),$E40,(RiskSlide!$A$7),($G40+BS$3),((RiskSlide!$A$10)/260),$C40,$B40,RiskSlide!$H69)</f>
        <v>-1750.314164258853</v>
      </c>
      <c r="BT40">
        <f>PnL(($D$7*(1+BT$2)),$E40,(RiskSlide!$A$7),($G40+BT$3),((RiskSlide!$A$10)/260),$C40,$B40,RiskSlide!$H69)</f>
        <v>-2305.2268401942192</v>
      </c>
      <c r="BU40">
        <f>PnL(($D$7*(1+BU$2)),$E40,(RiskSlide!$A$7),($G40+BU$3),((RiskSlide!$A$10)/260),$C40,$B40,RiskSlide!$H69)</f>
        <v>-2452.7291975232806</v>
      </c>
      <c r="BV40">
        <f>PnL(($D$7*(1+BV$2)),$E40,(RiskSlide!$A$7),($G40+BV$3),((RiskSlide!$A$10)/260),$C40,$B40,RiskSlide!$H69)</f>
        <v>-2203.2092597151768</v>
      </c>
      <c r="BW40">
        <f>PnL(($D$7*(1+BW$2)),$E40,(RiskSlide!$A$7),($G40+BW$3),((RiskSlide!$A$10)/260),$C40,$B40,RiskSlide!$H69)</f>
        <v>-2405.1504157698823</v>
      </c>
      <c r="BX40">
        <f>PnL(($D$7*(1+BX$2)),$E40,(RiskSlide!$A$7),($G40+BX$3),((RiskSlide!$A$10)/260),$C40,$B40,RiskSlide!$H69)</f>
        <v>-2448.1711915793794</v>
      </c>
      <c r="BY40">
        <f>PnL(($D$7*(1+BY$2)),$E40,(RiskSlide!$A$7),($G40+BY$3),((RiskSlide!$A$10)/260),$C40,$B40,RiskSlide!$H69)</f>
        <v>-2449.7294663603593</v>
      </c>
      <c r="BZ40">
        <f>PnL(($D$7*(1+BZ$2)),$E40,(RiskSlide!$A$7),($G40+BZ$3),((RiskSlide!$A$10)/260),$C40,$B40,RiskSlide!$H69)</f>
        <v>-2450.8462583846313</v>
      </c>
      <c r="CA40">
        <f>PnL(($D$7*(1+CA$2)),$E40,(RiskSlide!$A$7),($G40+CA$3),((RiskSlide!$A$10)/260),$C40,$B40,RiskSlide!$H69)</f>
        <v>-2451.6194428552622</v>
      </c>
      <c r="CB40">
        <f>PnL(($D$7*(1+CB$2)),$E40,(RiskSlide!$A$7),($G40+CB$3),((RiskSlide!$A$10)/260),$C40,$B40,RiskSlide!$H69)</f>
        <v>-2452.1339970529129</v>
      </c>
      <c r="CC40">
        <f>PnL(($D$7*(1+CC$2)),$E40,(RiskSlide!$A$7),($G40+CC$3),((RiskSlide!$A$10)/260),$C40,$B40,RiskSlide!$H69)</f>
        <v>-2452.8787487041482</v>
      </c>
      <c r="CD40">
        <f>PnL(($D$7*(1+CD$2)),$E40,(RiskSlide!$A$7),($G40+CD$3),((RiskSlide!$A$10)/260),$C40,$B40,RiskSlide!$H69)</f>
        <v>-2452.8793869506271</v>
      </c>
      <c r="CE40">
        <f>PnL(($D$7*(1+CE$2)),$E40,(RiskSlide!$A$7),($G40+CE$3),((RiskSlide!$A$10)/260),$C40,$B40,RiskSlide!$H69)</f>
        <v>-2451.1246886777203</v>
      </c>
      <c r="CF40">
        <f>PnL(($D$7*(1+CF$2)),$E40,(RiskSlide!$A$7),($G40+CF$3),((RiskSlide!$A$10)/260),$C40,$B40,RiskSlide!$H69)</f>
        <v>-2452.8489091987726</v>
      </c>
      <c r="CG40">
        <f>PnL(($D$7*(1+CG$2)),$E40,(RiskSlide!$A$7),($G40+CG$3),((RiskSlide!$A$10)/260),$C40,$B40,RiskSlide!$H69)</f>
        <v>-2452.8793135583246</v>
      </c>
      <c r="CH40">
        <f>PnL(($D$7*(1+CH$2)),$E40,(RiskSlide!$A$7),($G40+CH$3),((RiskSlide!$A$10)/260),$C40,$B40,RiskSlide!$H69)</f>
        <v>-2452.8793619369753</v>
      </c>
      <c r="CI40">
        <f>PnL(($D$7*(1+CI$2)),$E40,(RiskSlide!$A$7),($G40+CI$3),((RiskSlide!$A$10)/260),$C40,$B40,RiskSlide!$H69)</f>
        <v>-2452.8793792691677</v>
      </c>
      <c r="CJ40">
        <f>PnL(($D$7*(1+CJ$2)),$E40,(RiskSlide!$A$7),($G40+CJ$3),((RiskSlide!$A$10)/260),$C40,$B40,RiskSlide!$H69)</f>
        <v>-2452.8793848557502</v>
      </c>
      <c r="CK40">
        <f>PnL(($D$7*(1+CK$2)),$E40,(RiskSlide!$A$7),($G40+CK$3),((RiskSlide!$A$10)/260),$C40,$B40,RiskSlide!$H69)</f>
        <v>-2452.8793864518752</v>
      </c>
      <c r="CL40">
        <f>PnL(($D$7*(1+CL$2)),$E40,(RiskSlide!$A$7),($G40+CL$3),((RiskSlide!$A$10)/260),$C40,$B40,RiskSlide!$H69)</f>
        <v>-2452.8793869506271</v>
      </c>
      <c r="CM40">
        <f>PnL(($D$7*(1+CM$2)),$E40,(RiskSlide!$A$7),($G40+CM$3),((RiskSlide!$A$10)/260),$C40,$B40,RiskSlide!$H69)</f>
        <v>-2452.8793869506271</v>
      </c>
    </row>
    <row r="41" spans="1:91" x14ac:dyDescent="0.25">
      <c r="A41" t="s">
        <v>36</v>
      </c>
      <c r="B41">
        <v>-7</v>
      </c>
      <c r="C41">
        <v>0</v>
      </c>
      <c r="E41">
        <v>1765</v>
      </c>
      <c r="F41">
        <v>3.5000000000000001E-3</v>
      </c>
      <c r="G41">
        <v>0.14604400000000001</v>
      </c>
      <c r="K41">
        <f>PnL(($D$7*(1+K$2)),$E41,(RiskSlide!$A$7),($G41+K$3),((RiskSlide!$A$10)/260),$C41,$B41,RiskSlide!$H70)</f>
        <v>-54306.09599922123</v>
      </c>
      <c r="L41">
        <f>PnL(($D$7*(1+L$2)),$E41,(RiskSlide!$A$7),($G41+L$3),((RiskSlide!$A$10)/260),$C41,$B41,RiskSlide!$H70)</f>
        <v>-54302.064431365186</v>
      </c>
      <c r="M41">
        <f>PnL(($D$7*(1+M$2)),$E41,(RiskSlide!$A$7),($G41+M$3),((RiskSlide!$A$10)/260),$C41,$B41,RiskSlide!$H70)</f>
        <v>-54301.931826183711</v>
      </c>
      <c r="N41">
        <f>PnL(($D$7*(1+N$2)),$E41,(RiskSlide!$A$7),($G41+N$3),((RiskSlide!$A$10)/260),$C41,$B41,RiskSlide!$H70)</f>
        <v>-54301.931347980215</v>
      </c>
      <c r="O41">
        <f>PnL(($D$7*(1+O$2)),$E41,(RiskSlide!$A$7),($G41+O$3),((RiskSlide!$A$10)/260),$C41,$B41,RiskSlide!$H70)</f>
        <v>-54301.931145702649</v>
      </c>
      <c r="P41">
        <f>PnL(($D$7*(1+P$2)),$E41,(RiskSlide!$A$7),($G41+P$3),((RiskSlide!$A$10)/260),$C41,$B41,RiskSlide!$H70)</f>
        <v>-54301.93106754779</v>
      </c>
      <c r="Q41">
        <f>PnL(($D$7*(1+Q$2)),$E41,(RiskSlide!$A$7),($G41+Q$3),((RiskSlide!$A$10)/260),$C41,$B41,RiskSlide!$H70)</f>
        <v>-54301.931040322808</v>
      </c>
      <c r="R41">
        <f>PnL(($D$7*(1+R$2)),$E41,(RiskSlide!$A$7),($G41+R$3),((RiskSlide!$A$10)/260),$C41,$B41,RiskSlide!$H70)</f>
        <v>-54301.931028996631</v>
      </c>
      <c r="S41">
        <f>PnL(($D$7*(1+S$2)),$E41,(RiskSlide!$A$7),($G41+S$3),((RiskSlide!$A$10)/260),$C41,$B41,RiskSlide!$H70)</f>
        <v>-54301.931028996631</v>
      </c>
      <c r="T41">
        <f>PnL(($D$7*(1+T$2)),$E41,(RiskSlide!$A$7),($G41+T$3),((RiskSlide!$A$10)/260),$C41,$B41,RiskSlide!$H70)</f>
        <v>-23846.285413335914</v>
      </c>
      <c r="U41">
        <f>PnL(($D$7*(1+U$2)),$E41,(RiskSlide!$A$7),($G41+U$3),((RiskSlide!$A$10)/260),$C41,$B41,RiskSlide!$H70)</f>
        <v>-23377.925857356564</v>
      </c>
      <c r="V41">
        <f>PnL(($D$7*(1+V$2)),$E41,(RiskSlide!$A$7),($G41+V$3),((RiskSlide!$A$10)/260),$C41,$B41,RiskSlide!$H70)</f>
        <v>-23184.147893158632</v>
      </c>
      <c r="W41">
        <f>PnL(($D$7*(1+W$2)),$E41,(RiskSlide!$A$7),($G41+W$3),((RiskSlide!$A$10)/260),$C41,$B41,RiskSlide!$H70)</f>
        <v>-23170.576520220409</v>
      </c>
      <c r="X41">
        <f>PnL(($D$7*(1+X$2)),$E41,(RiskSlide!$A$7),($G41+X$3),((RiskSlide!$A$10)/260),$C41,$B41,RiskSlide!$H70)</f>
        <v>-23159.060329461005</v>
      </c>
      <c r="Y41">
        <f>PnL(($D$7*(1+Y$2)),$E41,(RiskSlide!$A$7),($G41+Y$3),((RiskSlide!$A$10)/260),$C41,$B41,RiskSlide!$H70)</f>
        <v>-23149.456932011839</v>
      </c>
      <c r="Z41">
        <f>PnL(($D$7*(1+Z$2)),$E41,(RiskSlide!$A$7),($G41+Z$3),((RiskSlide!$A$10)/260),$C41,$B41,RiskSlide!$H70)</f>
        <v>-23141.607042092397</v>
      </c>
      <c r="AA41">
        <f>PnL(($D$7*(1+AA$2)),$E41,(RiskSlide!$A$7),($G41+AA$3),((RiskSlide!$A$10)/260),$C41,$B41,RiskSlide!$H70)</f>
        <v>-23119.79722030415</v>
      </c>
      <c r="AB41">
        <f>PnL(($D$7*(1+AB$2)),$E41,(RiskSlide!$A$7),($G41+AB$3),((RiskSlide!$A$10)/260),$C41,$B41,RiskSlide!$H70)</f>
        <v>-23119.381028996686</v>
      </c>
      <c r="AC41">
        <f>PnL(($D$7*(1+AC$2)),$E41,(RiskSlide!$A$7),($G41+AC$3),((RiskSlide!$A$10)/260),$C41,$B41,RiskSlide!$H70)</f>
        <v>-5541.7050880277548</v>
      </c>
      <c r="AD41">
        <f>PnL(($D$7*(1+AD$2)),$E41,(RiskSlide!$A$7),($G41+AD$3),((RiskSlide!$A$10)/260),$C41,$B41,RiskSlide!$H70)</f>
        <v>-4014.1551633535582</v>
      </c>
      <c r="AE41">
        <f>PnL(($D$7*(1+AE$2)),$E41,(RiskSlide!$A$7),($G41+AE$3),((RiskSlide!$A$10)/260),$C41,$B41,RiskSlide!$H70)</f>
        <v>-2792.1868029185416</v>
      </c>
      <c r="AF41">
        <f>PnL(($D$7*(1+AF$2)),$E41,(RiskSlide!$A$7),($G41+AF$3),((RiskSlide!$A$10)/260),$C41,$B41,RiskSlide!$H70)</f>
        <v>-2639.4501210841781</v>
      </c>
      <c r="AG41">
        <f>PnL(($D$7*(1+AG$2)),$E41,(RiskSlide!$A$7),($G41+AG$3),((RiskSlide!$A$10)/260),$C41,$B41,RiskSlide!$H70)</f>
        <v>-2486.7164497984049</v>
      </c>
      <c r="AH41">
        <f>PnL(($D$7*(1+AH$2)),$E41,(RiskSlide!$A$7),($G41+AH$3),((RiskSlide!$A$10)/260),$C41,$B41,RiskSlide!$H70)</f>
        <v>-2333.9861710291816</v>
      </c>
      <c r="AI41">
        <f>PnL(($D$7*(1+AI$2)),$E41,(RiskSlide!$A$7),($G41+AI$3),((RiskSlide!$A$10)/260),$C41,$B41,RiskSlide!$H70)</f>
        <v>-2181.2597207211693</v>
      </c>
      <c r="AJ41">
        <f>PnL(($D$7*(1+AJ$2)),$E41,(RiskSlide!$A$7),($G41+AJ$3),((RiskSlide!$A$10)/260),$C41,$B41,RiskSlide!$H70)</f>
        <v>-959.66718922572909</v>
      </c>
      <c r="AK41">
        <f>PnL(($D$7*(1+AK$2)),$E41,(RiskSlide!$A$7),($G41+AK$3),((RiskSlide!$A$10)/260),$C41,$B41,RiskSlide!$H70)</f>
        <v>565.57114111722626</v>
      </c>
      <c r="AL41">
        <f>PnL(($D$7*(1+AL$2)),$E41,(RiskSlide!$A$7),($G41+AL$3),((RiskSlide!$A$10)/260),$C41,$B41,RiskSlide!$H70)</f>
        <v>-4084.1450922159711</v>
      </c>
      <c r="AM41">
        <f>PnL(($D$7*(1+AM$2)),$E41,(RiskSlide!$A$7),($G41+AM$3),((RiskSlide!$A$10)/260),$C41,$B41,RiskSlide!$H70)</f>
        <v>-2573.6943740801225</v>
      </c>
      <c r="AN41">
        <f>PnL(($D$7*(1+AN$2)),$E41,(RiskSlide!$A$7),($G41+AN$3),((RiskSlide!$A$10)/260),$C41,$B41,RiskSlide!$H70)</f>
        <v>-1374.9649860348597</v>
      </c>
      <c r="AO41">
        <f>PnL(($D$7*(1+AO$2)),$E41,(RiskSlide!$A$7),($G41+AO$3),((RiskSlide!$A$10)/260),$C41,$B41,RiskSlide!$H70)</f>
        <v>-1226.1001994948231</v>
      </c>
      <c r="AP41">
        <f>PnL(($D$7*(1+AP$2)),$E41,(RiskSlide!$A$7),($G41+AP$3),((RiskSlide!$A$10)/260),$C41,$B41,RiskSlide!$H70)</f>
        <v>-1077.5254657729818</v>
      </c>
      <c r="AQ41">
        <f>PnL(($D$7*(1+AQ$2)),$E41,(RiskSlide!$A$7),($G41+AQ$3),((RiskSlide!$A$10)/260),$C41,$B41,RiskSlide!$H70)</f>
        <v>-929.27103277715446</v>
      </c>
      <c r="AR41">
        <f>PnL(($D$7*(1+AR$2)),$E41,(RiskSlide!$A$7),($G41+AR$3),((RiskSlide!$A$10)/260),$C41,$B41,RiskSlide!$H70)</f>
        <v>-781.37146655688525</v>
      </c>
      <c r="AS41">
        <f>PnL(($D$7*(1+AS$2)),$E41,(RiskSlide!$A$7),($G41+AS$3),((RiskSlide!$A$10)/260),$C41,$B41,RiskSlide!$H70)</f>
        <v>382.63361263456659</v>
      </c>
      <c r="AT41">
        <f>PnL(($D$7*(1+AT$2)),$E41,(RiskSlide!$A$7),($G41+AT$3),((RiskSlide!$A$10)/260),$C41,$B41,RiskSlide!$H70)</f>
        <v>1701.1818750866978</v>
      </c>
      <c r="AU41">
        <f>PnL(($D$7*(1+AU$2)),$E41,(RiskSlide!$A$7),($G41+AU$3),((RiskSlide!$A$10)/260),$C41,$B41,RiskSlide!$H70)</f>
        <v>-2828.2424335015662</v>
      </c>
      <c r="AV41">
        <f>PnL(($D$7*(1+AV$2)),$E41,(RiskSlide!$A$7),($G41+AV$3),((RiskSlide!$A$10)/260),$C41,$B41,RiskSlide!$H70)</f>
        <v>-1384.4208937668384</v>
      </c>
      <c r="AW41">
        <f>PnL(($D$7*(1+AW$2)),$E41,(RiskSlide!$A$7),($G41+AW$3),((RiskSlide!$A$10)/260),$C41,$B41,RiskSlide!$H70)</f>
        <v>-269.58121011355161</v>
      </c>
      <c r="AX41">
        <f>PnL(($D$7*(1+AX$2)),$E41,(RiskSlide!$A$7),($G41+AX$3),((RiskSlide!$A$10)/260),$C41,$B41,RiskSlide!$H70)</f>
        <v>-134.20917432496822</v>
      </c>
      <c r="AY41">
        <f>PnL(($D$7*(1+AY$2)),$E41,(RiskSlide!$A$7),($G41+AY$3),((RiskSlide!$A$10)/260),$C41,$B41,RiskSlide!$H70)</f>
        <v>0</v>
      </c>
      <c r="AZ41">
        <f>PnL(($D$7*(1+AZ$2)),$E41,(RiskSlide!$A$7),($G41+AZ$3),((RiskSlide!$A$10)/260),$C41,$B41,RiskSlide!$H70)</f>
        <v>132.93423760769656</v>
      </c>
      <c r="BA41">
        <f>PnL(($D$7*(1+BA$2)),$E41,(RiskSlide!$A$7),($G41+BA$3),((RiskSlide!$A$10)/260),$C41,$B41,RiskSlide!$H70)</f>
        <v>264.46711282296178</v>
      </c>
      <c r="BB41">
        <f>PnL(($D$7*(1+BB$2)),$E41,(RiskSlide!$A$7),($G41+BB$3),((RiskSlide!$A$10)/260),$C41,$B41,RiskSlide!$H70)</f>
        <v>1244.1319264296226</v>
      </c>
      <c r="BC41">
        <f>PnL(($D$7*(1+BC$2)),$E41,(RiskSlide!$A$7),($G41+BC$3),((RiskSlide!$A$10)/260),$C41,$B41,RiskSlide!$H70)</f>
        <v>2059.8777690613965</v>
      </c>
      <c r="BD41">
        <f>PnL(($D$7*(1+BD$2)),$E41,(RiskSlide!$A$7),($G41+BD$3),((RiskSlide!$A$10)/260),$C41,$B41,RiskSlide!$H70)</f>
        <v>-1765.0751639468979</v>
      </c>
      <c r="BE41">
        <f>PnL(($D$7*(1+BE$2)),$E41,(RiskSlide!$A$7),($G41+BE$3),((RiskSlide!$A$10)/260),$C41,$B41,RiskSlide!$H70)</f>
        <v>-430.10324838047893</v>
      </c>
      <c r="BF41">
        <f>PnL(($D$7*(1+BF$2)),$E41,(RiskSlide!$A$7),($G41+BF$3),((RiskSlide!$A$10)/260),$C41,$B41,RiskSlide!$H70)</f>
        <v>553.84052296261359</v>
      </c>
      <c r="BG41">
        <f>PnL(($D$7*(1+BG$2)),$E41,(RiskSlide!$A$7),($G41+BG$3),((RiskSlide!$A$10)/260),$C41,$B41,RiskSlide!$H70)</f>
        <v>668.8166917605173</v>
      </c>
      <c r="BH41">
        <f>PnL(($D$7*(1+BH$2)),$E41,(RiskSlide!$A$7),($G41+BH$3),((RiskSlide!$A$10)/260),$C41,$B41,RiskSlide!$H70)</f>
        <v>781.51867972914886</v>
      </c>
      <c r="BI41">
        <f>PnL(($D$7*(1+BI$2)),$E41,(RiskSlide!$A$7),($G41+BI$3),((RiskSlide!$A$10)/260),$C41,$B41,RiskSlide!$H70)</f>
        <v>891.75701742473166</v>
      </c>
      <c r="BJ41">
        <f>PnL(($D$7*(1+BJ$2)),$E41,(RiskSlide!$A$7),($G41+BJ$3),((RiskSlide!$A$10)/260),$C41,$B41,RiskSlide!$H70)</f>
        <v>999.32313630967826</v>
      </c>
      <c r="BK41">
        <f>PnL(($D$7*(1+BK$2)),$E41,(RiskSlide!$A$7),($G41+BK$3),((RiskSlide!$A$10)/260),$C41,$B41,RiskSlide!$H70)</f>
        <v>1730.8546242769851</v>
      </c>
      <c r="BL41">
        <f>PnL(($D$7*(1+BL$2)),$E41,(RiskSlide!$A$7),($G41+BL$3),((RiskSlide!$A$10)/260),$C41,$B41,RiskSlide!$H70)</f>
        <v>2122.7636548567862</v>
      </c>
      <c r="BM41">
        <f>PnL(($D$7*(1+BM$2)),$E41,(RiskSlide!$A$7),($G41+BM$3),((RiskSlide!$A$10)/260),$C41,$B41,RiskSlide!$H70)</f>
        <v>-881.31003119466413</v>
      </c>
      <c r="BN41">
        <f>PnL(($D$7*(1+BN$2)),$E41,(RiskSlide!$A$7),($G41+BN$3),((RiskSlide!$A$10)/260),$C41,$B41,RiskSlide!$H70)</f>
        <v>313.38777959085178</v>
      </c>
      <c r="BO41">
        <f>PnL(($D$7*(1+BO$2)),$E41,(RiskSlide!$A$7),($G41+BO$3),((RiskSlide!$A$10)/260),$C41,$B41,RiskSlide!$H70)</f>
        <v>1138.4453909130202</v>
      </c>
      <c r="BP41">
        <f>PnL(($D$7*(1+BP$2)),$E41,(RiskSlide!$A$7),($G41+BP$3),((RiskSlide!$A$10)/260),$C41,$B41,RiskSlide!$H70)</f>
        <v>1229.7464906122798</v>
      </c>
      <c r="BQ41">
        <f>PnL(($D$7*(1+BQ$2)),$E41,(RiskSlide!$A$7),($G41+BQ$3),((RiskSlide!$A$10)/260),$C41,$B41,RiskSlide!$H70)</f>
        <v>1317.8253933327396</v>
      </c>
      <c r="BR41">
        <f>PnL(($D$7*(1+BR$2)),$E41,(RiskSlide!$A$7),($G41+BR$3),((RiskSlide!$A$10)/260),$C41,$B41,RiskSlide!$H70)</f>
        <v>1402.4718639780374</v>
      </c>
      <c r="BS41">
        <f>PnL(($D$7*(1+BS$2)),$E41,(RiskSlide!$A$7),($G41+BS$3),((RiskSlide!$A$10)/260),$C41,$B41,RiskSlide!$H70)</f>
        <v>1483.4640684672991</v>
      </c>
      <c r="BT41">
        <f>PnL(($D$7*(1+BT$2)),$E41,(RiskSlide!$A$7),($G41+BT$3),((RiskSlide!$A$10)/260),$C41,$B41,RiskSlide!$H70)</f>
        <v>1971.0308618826282</v>
      </c>
      <c r="BU41">
        <f>PnL(($D$7*(1+BU$2)),$E41,(RiskSlide!$A$7),($G41+BU$3),((RiskSlide!$A$10)/260),$C41,$B41,RiskSlide!$H70)</f>
        <v>2128.6167947565505</v>
      </c>
      <c r="BV41">
        <f>PnL(($D$7*(1+BV$2)),$E41,(RiskSlide!$A$7),($G41+BV$3),((RiskSlide!$A$10)/260),$C41,$B41,RiskSlide!$H70)</f>
        <v>1920.9741204582181</v>
      </c>
      <c r="BW41">
        <f>PnL(($D$7*(1+BW$2)),$E41,(RiskSlide!$A$7),($G41+BW$3),((RiskSlide!$A$10)/260),$C41,$B41,RiskSlide!$H70)</f>
        <v>2086.7951224748558</v>
      </c>
      <c r="BX41">
        <f>PnL(($D$7*(1+BX$2)),$E41,(RiskSlide!$A$7),($G41+BX$3),((RiskSlide!$A$10)/260),$C41,$B41,RiskSlide!$H70)</f>
        <v>2124.4423931079468</v>
      </c>
      <c r="BY41">
        <f>PnL(($D$7*(1+BY$2)),$E41,(RiskSlide!$A$7),($G41+BY$3),((RiskSlide!$A$10)/260),$C41,$B41,RiskSlide!$H70)</f>
        <v>2125.8863818482878</v>
      </c>
      <c r="BZ41">
        <f>PnL(($D$7*(1+BZ$2)),$E41,(RiskSlide!$A$7),($G41+BZ$3),((RiskSlide!$A$10)/260),$C41,$B41,RiskSlide!$H70)</f>
        <v>2126.9342846893041</v>
      </c>
      <c r="CA41">
        <f>PnL(($D$7*(1+CA$2)),$E41,(RiskSlide!$A$7),($G41+CA$3),((RiskSlide!$A$10)/260),$C41,$B41,RiskSlide!$H70)</f>
        <v>2127.6693543629317</v>
      </c>
      <c r="CB41">
        <f>PnL(($D$7*(1+CB$2)),$E41,(RiskSlide!$A$7),($G41+CB$3),((RiskSlide!$A$10)/260),$C41,$B41,RiskSlide!$H70)</f>
        <v>2128.165300305096</v>
      </c>
      <c r="CC41">
        <f>PnL(($D$7*(1+CC$2)),$E41,(RiskSlide!$A$7),($G41+CC$3),((RiskSlide!$A$10)/260),$C41,$B41,RiskSlide!$H70)</f>
        <v>2128.9057092153253</v>
      </c>
      <c r="CD41">
        <f>PnL(($D$7*(1+CD$2)),$E41,(RiskSlide!$A$7),($G41+CD$3),((RiskSlide!$A$10)/260),$C41,$B41,RiskSlide!$H70)</f>
        <v>2128.9064050035731</v>
      </c>
      <c r="CE41">
        <f>PnL(($D$7*(1+CE$2)),$E41,(RiskSlide!$A$7),($G41+CE$3),((RiskSlide!$A$10)/260),$C41,$B41,RiskSlide!$H70)</f>
        <v>2127.4128421132232</v>
      </c>
      <c r="CF41">
        <f>PnL(($D$7*(1+CF$2)),$E41,(RiskSlide!$A$7),($G41+CF$3),((RiskSlide!$A$10)/260),$C41,$B41,RiskSlide!$H70)</f>
        <v>2128.8793797243738</v>
      </c>
      <c r="CG41">
        <f>PnL(($D$7*(1+CG$2)),$E41,(RiskSlide!$A$7),($G41+CG$3),((RiskSlide!$A$10)/260),$C41,$B41,RiskSlide!$H70)</f>
        <v>2128.9063391716354</v>
      </c>
      <c r="CH41">
        <f>PnL(($D$7*(1+CH$2)),$E41,(RiskSlide!$A$7),($G41+CH$3),((RiskSlide!$A$10)/260),$C41,$B41,RiskSlide!$H70)</f>
        <v>2128.9063826545794</v>
      </c>
      <c r="CI41">
        <f>PnL(($D$7*(1+CI$2)),$E41,(RiskSlide!$A$7),($G41+CI$3),((RiskSlide!$A$10)/260),$C41,$B41,RiskSlide!$H70)</f>
        <v>2128.9063981836093</v>
      </c>
      <c r="CJ41">
        <f>PnL(($D$7*(1+CJ$2)),$E41,(RiskSlide!$A$7),($G41+CJ$3),((RiskSlide!$A$10)/260),$C41,$B41,RiskSlide!$H70)</f>
        <v>2128.9064031609309</v>
      </c>
      <c r="CK41">
        <f>PnL(($D$7*(1+CK$2)),$E41,(RiskSlide!$A$7),($G41+CK$3),((RiskSlide!$A$10)/260),$C41,$B41,RiskSlide!$H70)</f>
        <v>2128.9064045706145</v>
      </c>
      <c r="CL41">
        <f>PnL(($D$7*(1+CL$2)),$E41,(RiskSlide!$A$7),($G41+CL$3),((RiskSlide!$A$10)/260),$C41,$B41,RiskSlide!$H70)</f>
        <v>2128.9064050035731</v>
      </c>
      <c r="CM41">
        <f>PnL(($D$7*(1+CM$2)),$E41,(RiskSlide!$A$7),($G41+CM$3),((RiskSlide!$A$10)/260),$C41,$B41,RiskSlide!$H70)</f>
        <v>2128.9064050035731</v>
      </c>
    </row>
    <row r="42" spans="1:91" x14ac:dyDescent="0.25">
      <c r="A42" t="s">
        <v>37</v>
      </c>
      <c r="B42">
        <v>-1</v>
      </c>
      <c r="C42">
        <v>1</v>
      </c>
      <c r="E42">
        <v>1770</v>
      </c>
      <c r="F42">
        <v>3.5000000000000001E-3</v>
      </c>
      <c r="G42">
        <v>0.1431</v>
      </c>
      <c r="K42">
        <f>PnL(($D$7*(1+K$2)),$E42,(RiskSlide!$A$7),($G42+K$3),((RiskSlide!$A$10)/260),$C42,$B42,RiskSlide!$H71)</f>
        <v>971.95090298720834</v>
      </c>
      <c r="L42">
        <f>PnL(($D$7*(1+L$2)),$E42,(RiskSlide!$A$7),($G42+L$3),((RiskSlide!$A$10)/260),$C42,$B42,RiskSlide!$H71)</f>
        <v>972.30321206764518</v>
      </c>
      <c r="M42">
        <f>PnL(($D$7*(1+M$2)),$E42,(RiskSlide!$A$7),($G42+M$3),((RiskSlide!$A$10)/260),$C42,$B42,RiskSlide!$H71)</f>
        <v>972.31167558308584</v>
      </c>
      <c r="N42">
        <f>PnL(($D$7*(1+N$2)),$E42,(RiskSlide!$A$7),($G42+N$3),((RiskSlide!$A$10)/260),$C42,$B42,RiskSlide!$H71)</f>
        <v>972.31169458861814</v>
      </c>
      <c r="O42">
        <f>PnL(($D$7*(1+O$2)),$E42,(RiskSlide!$A$7),($G42+O$3),((RiskSlide!$A$10)/260),$C42,$B42,RiskSlide!$H71)</f>
        <v>972.3117018185842</v>
      </c>
      <c r="P42">
        <f>PnL(($D$7*(1+P$2)),$E42,(RiskSlide!$A$7),($G42+P$3),((RiskSlide!$A$10)/260),$C42,$B42,RiskSlide!$H71)</f>
        <v>972.31170429794872</v>
      </c>
      <c r="Q42">
        <f>PnL(($D$7*(1+Q$2)),$E42,(RiskSlide!$A$7),($G42+Q$3),((RiskSlide!$A$10)/260),$C42,$B42,RiskSlide!$H71)</f>
        <v>972.31170505281477</v>
      </c>
      <c r="R42">
        <f>PnL(($D$7*(1+R$2)),$E42,(RiskSlide!$A$7),($G42+R$3),((RiskSlide!$A$10)/260),$C42,$B42,RiskSlide!$H71)</f>
        <v>972.31170530858435</v>
      </c>
      <c r="S42">
        <f>PnL(($D$7*(1+S$2)),$E42,(RiskSlide!$A$7),($G42+S$3),((RiskSlide!$A$10)/260),$C42,$B42,RiskSlide!$H71)</f>
        <v>972.31170530858435</v>
      </c>
      <c r="T42">
        <f>PnL(($D$7*(1+T$2)),$E42,(RiskSlide!$A$7),($G42+T$3),((RiskSlide!$A$10)/260),$C42,$B42,RiskSlide!$H71)</f>
        <v>891.89330707141607</v>
      </c>
      <c r="U42">
        <f>PnL(($D$7*(1+U$2)),$E42,(RiskSlide!$A$7),($G42+U$3),((RiskSlide!$A$10)/260),$C42,$B42,RiskSlide!$H71)</f>
        <v>946.93951948123288</v>
      </c>
      <c r="V42">
        <f>PnL(($D$7*(1+V$2)),$E42,(RiskSlide!$A$7),($G42+V$3),((RiskSlide!$A$10)/260),$C42,$B42,RiskSlide!$H71)</f>
        <v>967.06669121810671</v>
      </c>
      <c r="W42">
        <f>PnL(($D$7*(1+W$2)),$E42,(RiskSlide!$A$7),($G42+W$3),((RiskSlide!$A$10)/260),$C42,$B42,RiskSlide!$H71)</f>
        <v>968.31177622206587</v>
      </c>
      <c r="X42">
        <f>PnL(($D$7*(1+X$2)),$E42,(RiskSlide!$A$7),($G42+X$3),((RiskSlide!$A$10)/260),$C42,$B42,RiskSlide!$H71)</f>
        <v>969.33263440183953</v>
      </c>
      <c r="Y42">
        <f>PnL(($D$7*(1+Y$2)),$E42,(RiskSlide!$A$7),($G42+Y$3),((RiskSlide!$A$10)/260),$C42,$B42,RiskSlide!$H71)</f>
        <v>970.15183236168582</v>
      </c>
      <c r="Z42">
        <f>PnL(($D$7*(1+Z$2)),$E42,(RiskSlide!$A$7),($G42+Z$3),((RiskSlide!$A$10)/260),$C42,$B42,RiskSlide!$H71)</f>
        <v>970.79314860768682</v>
      </c>
      <c r="AA42">
        <f>PnL(($D$7*(1+AA$2)),$E42,(RiskSlide!$A$7),($G42+AA$3),((RiskSlide!$A$10)/260),$C42,$B42,RiskSlide!$H71)</f>
        <v>972.29848028529557</v>
      </c>
      <c r="AB42">
        <f>PnL(($D$7*(1+AB$2)),$E42,(RiskSlide!$A$7),($G42+AB$3),((RiskSlide!$A$10)/260),$C42,$B42,RiskSlide!$H71)</f>
        <v>972.31170530858435</v>
      </c>
      <c r="AC42">
        <f>PnL(($D$7*(1+AC$2)),$E42,(RiskSlide!$A$7),($G42+AC$3),((RiskSlide!$A$10)/260),$C42,$B42,RiskSlide!$H71)</f>
        <v>49.738626524606389</v>
      </c>
      <c r="AD42">
        <f>PnL(($D$7*(1+AD$2)),$E42,(RiskSlide!$A$7),($G42+AD$3),((RiskSlide!$A$10)/260),$C42,$B42,RiskSlide!$H71)</f>
        <v>266.64499447794014</v>
      </c>
      <c r="AE42">
        <f>PnL(($D$7*(1+AE$2)),$E42,(RiskSlide!$A$7),($G42+AE$3),((RiskSlide!$A$10)/260),$C42,$B42,RiskSlide!$H71)</f>
        <v>439.40021613136651</v>
      </c>
      <c r="AF42">
        <f>PnL(($D$7*(1+AF$2)),$E42,(RiskSlide!$A$7),($G42+AF$3),((RiskSlide!$A$10)/260),$C42,$B42,RiskSlide!$H71)</f>
        <v>460.91562082052064</v>
      </c>
      <c r="AG42">
        <f>PnL(($D$7*(1+AG$2)),$E42,(RiskSlide!$A$7),($G42+AG$3),((RiskSlide!$A$10)/260),$C42,$B42,RiskSlide!$H71)</f>
        <v>482.40737058518448</v>
      </c>
      <c r="AH42">
        <f>PnL(($D$7*(1+AH$2)),$E42,(RiskSlide!$A$7),($G42+AH$3),((RiskSlide!$A$10)/260),$C42,$B42,RiskSlide!$H71)</f>
        <v>503.87291782809598</v>
      </c>
      <c r="AI42">
        <f>PnL(($D$7*(1+AI$2)),$E42,(RiskSlide!$A$7),($G42+AI$3),((RiskSlide!$A$10)/260),$C42,$B42,RiskSlide!$H71)</f>
        <v>525.30933848363475</v>
      </c>
      <c r="AJ42">
        <f>PnL(($D$7*(1+AJ$2)),$E42,(RiskSlide!$A$7),($G42+AJ$3),((RiskSlide!$A$10)/260),$C42,$B42,RiskSlide!$H71)</f>
        <v>695.19931724316848</v>
      </c>
      <c r="AK42">
        <f>PnL(($D$7*(1+AK$2)),$E42,(RiskSlide!$A$7),($G42+AK$3),((RiskSlide!$A$10)/260),$C42,$B42,RiskSlide!$H71)</f>
        <v>895.29684261095213</v>
      </c>
      <c r="AL42">
        <f>PnL(($D$7*(1+AL$2)),$E42,(RiskSlide!$A$7),($G42+AL$3),((RiskSlide!$A$10)/260),$C42,$B42,RiskSlide!$H71)</f>
        <v>-170.97667155472891</v>
      </c>
      <c r="AM42">
        <f>PnL(($D$7*(1+AM$2)),$E42,(RiskSlide!$A$7),($G42+AM$3),((RiskSlide!$A$10)/260),$C42,$B42,RiskSlide!$H71)</f>
        <v>47.692597126672354</v>
      </c>
      <c r="AN42">
        <f>PnL(($D$7*(1+AN$2)),$E42,(RiskSlide!$A$7),($G42+AN$3),((RiskSlide!$A$10)/260),$C42,$B42,RiskSlide!$H71)</f>
        <v>222.4235777467868</v>
      </c>
      <c r="AO42">
        <f>PnL(($D$7*(1+AO$2)),$E42,(RiskSlide!$A$7),($G42+AO$3),((RiskSlide!$A$10)/260),$C42,$B42,RiskSlide!$H71)</f>
        <v>244.24369878168477</v>
      </c>
      <c r="AP42">
        <f>PnL(($D$7*(1+AP$2)),$E42,(RiskSlide!$A$7),($G42+AP$3),((RiskSlide!$A$10)/260),$C42,$B42,RiskSlide!$H71)</f>
        <v>266.05742064436981</v>
      </c>
      <c r="AQ42">
        <f>PnL(($D$7*(1+AQ$2)),$E42,(RiskSlide!$A$7),($G42+AQ$3),((RiskSlide!$A$10)/260),$C42,$B42,RiskSlide!$H71)</f>
        <v>287.86404162983104</v>
      </c>
      <c r="AR42">
        <f>PnL(($D$7*(1+AR$2)),$E42,(RiskSlide!$A$7),($G42+AR$3),((RiskSlide!$A$10)/260),$C42,$B42,RiskSlide!$H71)</f>
        <v>309.66275535276395</v>
      </c>
      <c r="AS42">
        <f>PnL(($D$7*(1+AS$2)),$E42,(RiskSlide!$A$7),($G42+AS$3),((RiskSlide!$A$10)/260),$C42,$B42,RiskSlide!$H71)</f>
        <v>483.61440565382168</v>
      </c>
      <c r="AT42">
        <f>PnL(($D$7*(1+AT$2)),$E42,(RiskSlide!$A$7),($G42+AT$3),((RiskSlide!$A$10)/260),$C42,$B42,RiskSlide!$H71)</f>
        <v>697.57700348010303</v>
      </c>
      <c r="AU42">
        <f>PnL(($D$7*(1+AU$2)),$E42,(RiskSlide!$A$7),($G42+AU$3),((RiskSlide!$A$10)/260),$C42,$B42,RiskSlide!$H71)</f>
        <v>-421.16490227680288</v>
      </c>
      <c r="AV42">
        <f>PnL(($D$7*(1+AV$2)),$E42,(RiskSlide!$A$7),($G42+AV$3),((RiskSlide!$A$10)/260),$C42,$B42,RiskSlide!$H71)</f>
        <v>-208.28134962995364</v>
      </c>
      <c r="AW42">
        <f>PnL(($D$7*(1+AW$2)),$E42,(RiskSlide!$A$7),($G42+AW$3),((RiskSlide!$A$10)/260),$C42,$B42,RiskSlide!$H71)</f>
        <v>-41.079065787755553</v>
      </c>
      <c r="AX42">
        <f>PnL(($D$7*(1+AX$2)),$E42,(RiskSlide!$A$7),($G42+AX$3),((RiskSlide!$A$10)/260),$C42,$B42,RiskSlide!$H71)</f>
        <v>-20.492944225134124</v>
      </c>
      <c r="AY42">
        <f>PnL(($D$7*(1+AY$2)),$E42,(RiskSlide!$A$7),($G42+AY$3),((RiskSlide!$A$10)/260),$C42,$B42,RiskSlide!$H71)</f>
        <v>0</v>
      </c>
      <c r="AZ42">
        <f>PnL(($D$7*(1+AZ$2)),$E42,(RiskSlide!$A$7),($G42+AZ$3),((RiskSlide!$A$10)/260),$C42,$B42,RiskSlide!$H71)</f>
        <v>20.390131422914237</v>
      </c>
      <c r="BA42">
        <f>PnL(($D$7*(1+BA$2)),$E42,(RiskSlide!$A$7),($G42+BA$3),((RiskSlide!$A$10)/260),$C42,$B42,RiskSlide!$H71)</f>
        <v>40.666462021124516</v>
      </c>
      <c r="BB42">
        <f>PnL(($D$7*(1+BB$2)),$E42,(RiskSlide!$A$7),($G42+BB$3),((RiskSlide!$A$10)/260),$C42,$B42,RiskSlide!$H71)</f>
        <v>196.76316909183242</v>
      </c>
      <c r="BC42">
        <f>PnL(($D$7*(1+BC$2)),$E42,(RiskSlide!$A$7),($G42+BC$3),((RiskSlide!$A$10)/260),$C42,$B42,RiskSlide!$H71)</f>
        <v>350.99627457433371</v>
      </c>
      <c r="BD42">
        <f>PnL(($D$7*(1+BD$2)),$E42,(RiskSlide!$A$7),($G42+BD$3),((RiskSlide!$A$10)/260),$C42,$B42,RiskSlide!$H71)</f>
        <v>-699.93666610697574</v>
      </c>
      <c r="BE42">
        <f>PnL(($D$7*(1+BE$2)),$E42,(RiskSlide!$A$7),($G42+BE$3),((RiskSlide!$A$10)/260),$C42,$B42,RiskSlide!$H71)</f>
        <v>-499.68078909811311</v>
      </c>
      <c r="BF42">
        <f>PnL(($D$7*(1+BF$2)),$E42,(RiskSlide!$A$7),($G42+BF$3),((RiskSlide!$A$10)/260),$C42,$B42,RiskSlide!$H71)</f>
        <v>-348.16166896969207</v>
      </c>
      <c r="BG42">
        <f>PnL(($D$7*(1+BG$2)),$E42,(RiskSlide!$A$7),($G42+BG$3),((RiskSlide!$A$10)/260),$C42,$B42,RiskSlide!$H71)</f>
        <v>-330.07440550452429</v>
      </c>
      <c r="BH42">
        <f>PnL(($D$7*(1+BH$2)),$E42,(RiskSlide!$A$7),($G42+BH$3),((RiskSlide!$A$10)/260),$C42,$B42,RiskSlide!$H71)</f>
        <v>-312.23419425419934</v>
      </c>
      <c r="BI42">
        <f>PnL(($D$7*(1+BI$2)),$E42,(RiskSlide!$A$7),($G42+BI$3),((RiskSlide!$A$10)/260),$C42,$B42,RiskSlide!$H71)</f>
        <v>-294.66392960763415</v>
      </c>
      <c r="BJ42">
        <f>PnL(($D$7*(1+BJ$2)),$E42,(RiskSlide!$A$7),($G42+BJ$3),((RiskSlide!$A$10)/260),$C42,$B42,RiskSlide!$H71)</f>
        <v>-277.38923647254978</v>
      </c>
      <c r="BK42">
        <f>PnL(($D$7*(1+BK$2)),$E42,(RiskSlide!$A$7),($G42+BK$3),((RiskSlide!$A$10)/260),$C42,$B42,RiskSlide!$H71)</f>
        <v>-154.15775647866212</v>
      </c>
      <c r="BL42">
        <f>PnL(($D$7*(1+BL$2)),$E42,(RiskSlide!$A$7),($G42+BL$3),((RiskSlide!$A$10)/260),$C42,$B42,RiskSlide!$H71)</f>
        <v>-73.295817483551673</v>
      </c>
      <c r="BM42">
        <f>PnL(($D$7*(1+BM$2)),$E42,(RiskSlide!$A$7),($G42+BM$3),((RiskSlide!$A$10)/260),$C42,$B42,RiskSlide!$H71)</f>
        <v>-1005.6867701573083</v>
      </c>
      <c r="BN42">
        <f>PnL(($D$7*(1+BN$2)),$E42,(RiskSlide!$A$7),($G42+BN$3),((RiskSlide!$A$10)/260),$C42,$B42,RiskSlide!$H71)</f>
        <v>-823.55342680430113</v>
      </c>
      <c r="BO42">
        <f>PnL(($D$7*(1+BO$2)),$E42,(RiskSlide!$A$7),($G42+BO$3),((RiskSlide!$A$10)/260),$C42,$B42,RiskSlide!$H71)</f>
        <v>-693.37892018010052</v>
      </c>
      <c r="BP42">
        <f>PnL(($D$7*(1+BP$2)),$E42,(RiskSlide!$A$7),($G42+BP$3),((RiskSlide!$A$10)/260),$C42,$B42,RiskSlide!$H71)</f>
        <v>-678.56339011904083</v>
      </c>
      <c r="BQ42">
        <f>PnL(($D$7*(1+BQ$2)),$E42,(RiskSlide!$A$7),($G42+BQ$3),((RiskSlide!$A$10)/260),$C42,$B42,RiskSlide!$H71)</f>
        <v>-664.15501861081339</v>
      </c>
      <c r="BR42">
        <f>PnL(($D$7*(1+BR$2)),$E42,(RiskSlide!$A$7),($G42+BR$3),((RiskSlide!$A$10)/260),$C42,$B42,RiskSlide!$H71)</f>
        <v>-650.18495519819908</v>
      </c>
      <c r="BS42">
        <f>PnL(($D$7*(1+BS$2)),$E42,(RiskSlide!$A$7),($G42+BS$3),((RiskSlide!$A$10)/260),$C42,$B42,RiskSlide!$H71)</f>
        <v>-636.68692815050463</v>
      </c>
      <c r="BT42">
        <f>PnL(($D$7*(1+BT$2)),$E42,(RiskSlide!$A$7),($G42+BT$3),((RiskSlide!$A$10)/260),$C42,$B42,RiskSlide!$H71)</f>
        <v>-550.60284661748256</v>
      </c>
      <c r="BU42">
        <f>PnL(($D$7*(1+BU$2)),$E42,(RiskSlide!$A$7),($G42+BU$3),((RiskSlide!$A$10)/260),$C42,$B42,RiskSlide!$H71)</f>
        <v>-516.50185753005644</v>
      </c>
      <c r="BV42">
        <f>PnL(($D$7*(1+BV$2)),$E42,(RiskSlide!$A$7),($G42+BV$3),((RiskSlide!$A$10)/260),$C42,$B42,RiskSlide!$H71)</f>
        <v>-4115.3692240644432</v>
      </c>
      <c r="BW42">
        <f>PnL(($D$7*(1+BW$2)),$E42,(RiskSlide!$A$7),($G42+BW$3),((RiskSlide!$A$10)/260),$C42,$B42,RiskSlide!$H71)</f>
        <v>-4087.6684112340627</v>
      </c>
      <c r="BX42">
        <f>PnL(($D$7*(1+BX$2)),$E42,(RiskSlide!$A$7),($G42+BX$3),((RiskSlide!$A$10)/260),$C42,$B42,RiskSlide!$H71)</f>
        <v>-4080.9655319734816</v>
      </c>
      <c r="BY42">
        <f>PnL(($D$7*(1+BY$2)),$E42,(RiskSlide!$A$7),($G42+BY$3),((RiskSlide!$A$10)/260),$C42,$B42,RiskSlide!$H71)</f>
        <v>-4080.6932911979857</v>
      </c>
      <c r="BZ42">
        <f>PnL(($D$7*(1+BZ$2)),$E42,(RiskSlide!$A$7),($G42+BZ$3),((RiskSlide!$A$10)/260),$C42,$B42,RiskSlide!$H71)</f>
        <v>-4080.4932117807653</v>
      </c>
      <c r="CA42">
        <f>PnL(($D$7*(1+CA$2)),$E42,(RiskSlide!$A$7),($G42+CA$3),((RiskSlide!$A$10)/260),$C42,$B42,RiskSlide!$H71)</f>
        <v>-4080.3509852422394</v>
      </c>
      <c r="CB42">
        <f>PnL(($D$7*(1+CB$2)),$E42,(RiskSlide!$A$7),($G42+CB$3),((RiskSlide!$A$10)/260),$C42,$B42,RiskSlide!$H71)</f>
        <v>-4080.2536814794621</v>
      </c>
      <c r="CC42">
        <f>PnL(($D$7*(1+CC$2)),$E42,(RiskSlide!$A$7),($G42+CC$3),((RiskSlide!$A$10)/260),$C42,$B42,RiskSlide!$H71)</f>
        <v>-4080.1037054817357</v>
      </c>
      <c r="CD42">
        <f>PnL(($D$7*(1+CD$2)),$E42,(RiskSlide!$A$7),($G42+CD$3),((RiskSlide!$A$10)/260),$C42,$B42,RiskSlide!$H71)</f>
        <v>-4080.1035510102793</v>
      </c>
      <c r="CE42">
        <f>PnL(($D$7*(1+CE$2)),$E42,(RiskSlide!$A$7),($G42+CE$3),((RiskSlide!$A$10)/260),$C42,$B42,RiskSlide!$H71)</f>
        <v>-8535.0122925367141</v>
      </c>
      <c r="CF42">
        <f>PnL(($D$7*(1+CF$2)),$E42,(RiskSlide!$A$7),($G42+CF$3),((RiskSlide!$A$10)/260),$C42,$B42,RiskSlide!$H71)</f>
        <v>-8534.7584207393538</v>
      </c>
      <c r="CG42">
        <f>PnL(($D$7*(1+CG$2)),$E42,(RiskSlide!$A$7),($G42+CG$3),((RiskSlide!$A$10)/260),$C42,$B42,RiskSlide!$H71)</f>
        <v>-8534.7535629560643</v>
      </c>
      <c r="CH42">
        <f>PnL(($D$7*(1+CH$2)),$E42,(RiskSlide!$A$7),($G42+CH$3),((RiskSlide!$A$10)/260),$C42,$B42,RiskSlide!$H71)</f>
        <v>-8534.7535550450411</v>
      </c>
      <c r="CI42">
        <f>PnL(($D$7*(1+CI$2)),$E42,(RiskSlide!$A$7),($G42+CI$3),((RiskSlide!$A$10)/260),$C42,$B42,RiskSlide!$H71)</f>
        <v>-8534.7535522320068</v>
      </c>
      <c r="CJ42">
        <f>PnL(($D$7*(1+CJ$2)),$E42,(RiskSlide!$A$7),($G42+CJ$3),((RiskSlide!$A$10)/260),$C42,$B42,RiskSlide!$H71)</f>
        <v>-8534.7535513367111</v>
      </c>
      <c r="CK42">
        <f>PnL(($D$7*(1+CK$2)),$E42,(RiskSlide!$A$7),($G42+CK$3),((RiskSlide!$A$10)/260),$C42,$B42,RiskSlide!$H71)</f>
        <v>-8534.7535510858161</v>
      </c>
      <c r="CL42">
        <f>PnL(($D$7*(1+CL$2)),$E42,(RiskSlide!$A$7),($G42+CL$3),((RiskSlide!$A$10)/260),$C42,$B42,RiskSlide!$H71)</f>
        <v>-8534.7535510102825</v>
      </c>
      <c r="CM42">
        <f>PnL(($D$7*(1+CM$2)),$E42,(RiskSlide!$A$7),($G42+CM$3),((RiskSlide!$A$10)/260),$C42,$B42,RiskSlide!$H71)</f>
        <v>-8534.7535510102825</v>
      </c>
    </row>
    <row r="43" spans="1:91" x14ac:dyDescent="0.25">
      <c r="A43" t="s">
        <v>38</v>
      </c>
      <c r="B43">
        <v>27</v>
      </c>
      <c r="C43">
        <v>0</v>
      </c>
      <c r="E43">
        <v>1770</v>
      </c>
      <c r="F43">
        <v>3.5000000000000001E-3</v>
      </c>
      <c r="G43">
        <v>0.1431</v>
      </c>
      <c r="K43">
        <f>PnL(($D$7*(1+K$2)),$E43,(RiskSlide!$A$7),($G43+K$3),((RiskSlide!$A$10)/260),$C43,$B43,RiskSlide!$H72)</f>
        <v>214308.42561934527</v>
      </c>
      <c r="L43">
        <f>PnL(($D$7*(1+L$2)),$E43,(RiskSlide!$A$7),($G43+L$3),((RiskSlide!$A$10)/260),$C43,$B43,RiskSlide!$H72)</f>
        <v>214298.91327417345</v>
      </c>
      <c r="M43">
        <f>PnL(($D$7*(1+M$2)),$E43,(RiskSlide!$A$7),($G43+M$3),((RiskSlide!$A$10)/260),$C43,$B43,RiskSlide!$H72)</f>
        <v>214298.68475925658</v>
      </c>
      <c r="N43">
        <f>PnL(($D$7*(1+N$2)),$E43,(RiskSlide!$A$7),($G43+N$3),((RiskSlide!$A$10)/260),$C43,$B43,RiskSlide!$H72)</f>
        <v>214298.68424610698</v>
      </c>
      <c r="O43">
        <f>PnL(($D$7*(1+O$2)),$E43,(RiskSlide!$A$7),($G43+O$3),((RiskSlide!$A$10)/260),$C43,$B43,RiskSlide!$H72)</f>
        <v>214298.68405089807</v>
      </c>
      <c r="P43">
        <f>PnL(($D$7*(1+P$2)),$E43,(RiskSlide!$A$7),($G43+P$3),((RiskSlide!$A$10)/260),$C43,$B43,RiskSlide!$H72)</f>
        <v>214298.6839839553</v>
      </c>
      <c r="Q43">
        <f>PnL(($D$7*(1+Q$2)),$E43,(RiskSlide!$A$7),($G43+Q$3),((RiskSlide!$A$10)/260),$C43,$B43,RiskSlide!$H72)</f>
        <v>214298.68396357412</v>
      </c>
      <c r="R43">
        <f>PnL(($D$7*(1+R$2)),$E43,(RiskSlide!$A$7),($G43+R$3),((RiskSlide!$A$10)/260),$C43,$B43,RiskSlide!$H72)</f>
        <v>214298.68395666828</v>
      </c>
      <c r="S43">
        <f>PnL(($D$7*(1+S$2)),$E43,(RiskSlide!$A$7),($G43+S$3),((RiskSlide!$A$10)/260),$C43,$B43,RiskSlide!$H72)</f>
        <v>214298.68395666828</v>
      </c>
      <c r="T43">
        <f>PnL(($D$7*(1+T$2)),$E43,(RiskSlide!$A$7),($G43+T$3),((RiskSlide!$A$10)/260),$C43,$B43,RiskSlide!$H72)</f>
        <v>96194.430709072025</v>
      </c>
      <c r="U43">
        <f>PnL(($D$7*(1+U$2)),$E43,(RiskSlide!$A$7),($G43+U$3),((RiskSlide!$A$10)/260),$C43,$B43,RiskSlide!$H72)</f>
        <v>94708.182974006559</v>
      </c>
      <c r="V43">
        <f>PnL(($D$7*(1+V$2)),$E43,(RiskSlide!$A$7),($G43+V$3),((RiskSlide!$A$10)/260),$C43,$B43,RiskSlide!$H72)</f>
        <v>94164.749337110959</v>
      </c>
      <c r="W43">
        <f>PnL(($D$7*(1+W$2)),$E43,(RiskSlide!$A$7),($G43+W$3),((RiskSlide!$A$10)/260),$C43,$B43,RiskSlide!$H72)</f>
        <v>94131.132042004319</v>
      </c>
      <c r="X43">
        <f>PnL(($D$7*(1+X$2)),$E43,(RiskSlide!$A$7),($G43+X$3),((RiskSlide!$A$10)/260),$C43,$B43,RiskSlide!$H72)</f>
        <v>94103.568871150652</v>
      </c>
      <c r="Y43">
        <f>PnL(($D$7*(1+Y$2)),$E43,(RiskSlide!$A$7),($G43+Y$3),((RiskSlide!$A$10)/260),$C43,$B43,RiskSlide!$H72)</f>
        <v>94081.450526234214</v>
      </c>
      <c r="Z43">
        <f>PnL(($D$7*(1+Z$2)),$E43,(RiskSlide!$A$7),($G43+Z$3),((RiskSlide!$A$10)/260),$C43,$B43,RiskSlide!$H72)</f>
        <v>94064.134987592741</v>
      </c>
      <c r="AA43">
        <f>PnL(($D$7*(1+AA$2)),$E43,(RiskSlide!$A$7),($G43+AA$3),((RiskSlide!$A$10)/260),$C43,$B43,RiskSlide!$H72)</f>
        <v>94023.491032297374</v>
      </c>
      <c r="AB43">
        <f>PnL(($D$7*(1+AB$2)),$E43,(RiskSlide!$A$7),($G43+AB$3),((RiskSlide!$A$10)/260),$C43,$B43,RiskSlide!$H72)</f>
        <v>94023.133956668476</v>
      </c>
      <c r="AC43">
        <f>PnL(($D$7*(1+AC$2)),$E43,(RiskSlide!$A$7),($G43+AC$3),((RiskSlide!$A$10)/260),$C43,$B43,RiskSlide!$H72)</f>
        <v>22712.167083835862</v>
      </c>
      <c r="AD43">
        <f>PnL(($D$7*(1+AD$2)),$E43,(RiskSlide!$A$7),($G43+AD$3),((RiskSlide!$A$10)/260),$C43,$B43,RiskSlide!$H72)</f>
        <v>16855.695149095543</v>
      </c>
      <c r="AE43">
        <f>PnL(($D$7*(1+AE$2)),$E43,(RiskSlide!$A$7),($G43+AE$3),((RiskSlide!$A$10)/260),$C43,$B43,RiskSlide!$H72)</f>
        <v>12191.304164453339</v>
      </c>
      <c r="AF43">
        <f>PnL(($D$7*(1+AF$2)),$E43,(RiskSlide!$A$7),($G43+AF$3),((RiskSlide!$A$10)/260),$C43,$B43,RiskSlide!$H72)</f>
        <v>11610.388237846024</v>
      </c>
      <c r="AG43">
        <f>PnL(($D$7*(1+AG$2)),$E43,(RiskSlide!$A$7),($G43+AG$3),((RiskSlide!$A$10)/260),$C43,$B43,RiskSlide!$H72)</f>
        <v>11030.110994200255</v>
      </c>
      <c r="AH43">
        <f>PnL(($D$7*(1+AH$2)),$E43,(RiskSlide!$A$7),($G43+AH$3),((RiskSlide!$A$10)/260),$C43,$B43,RiskSlide!$H72)</f>
        <v>10450.541218641336</v>
      </c>
      <c r="AI43">
        <f>PnL(($D$7*(1+AI$2)),$E43,(RiskSlide!$A$7),($G43+AI$3),((RiskSlide!$A$10)/260),$C43,$B43,RiskSlide!$H72)</f>
        <v>9871.7578609419434</v>
      </c>
      <c r="AJ43">
        <f>PnL(($D$7*(1+AJ$2)),$E43,(RiskSlide!$A$7),($G43+AJ$3),((RiskSlide!$A$10)/260),$C43,$B43,RiskSlide!$H72)</f>
        <v>5284.7284344349928</v>
      </c>
      <c r="AK43">
        <f>PnL(($D$7*(1+AK$2)),$E43,(RiskSlide!$A$7),($G43+AK$3),((RiskSlide!$A$10)/260),$C43,$B43,RiskSlide!$H72)</f>
        <v>-117.90475049562588</v>
      </c>
      <c r="AL43">
        <f>PnL(($D$7*(1+AL$2)),$E43,(RiskSlide!$A$7),($G43+AL$3),((RiskSlide!$A$10)/260),$C43,$B43,RiskSlide!$H72)</f>
        <v>16643.925131977874</v>
      </c>
      <c r="AM43">
        <f>PnL(($D$7*(1+AM$2)),$E43,(RiskSlide!$A$7),($G43+AM$3),((RiskSlide!$A$10)/260),$C43,$B43,RiskSlide!$H72)</f>
        <v>10739.854877579888</v>
      </c>
      <c r="AN43">
        <f>PnL(($D$7*(1+AN$2)),$E43,(RiskSlide!$A$7),($G43+AN$3),((RiskSlide!$A$10)/260),$C43,$B43,RiskSlide!$H72)</f>
        <v>6022.1184008367973</v>
      </c>
      <c r="AO43">
        <f>PnL(($D$7*(1+AO$2)),$E43,(RiskSlide!$A$7),($G43+AO$3),((RiskSlide!$A$10)/260),$C43,$B43,RiskSlide!$H72)</f>
        <v>5432.9751328947059</v>
      </c>
      <c r="AP43">
        <f>PnL(($D$7*(1+AP$2)),$E43,(RiskSlide!$A$7),($G43+AP$3),((RiskSlide!$A$10)/260),$C43,$B43,RiskSlide!$H72)</f>
        <v>4844.0046426017489</v>
      </c>
      <c r="AQ43">
        <f>PnL(($D$7*(1+AQ$2)),$E43,(RiskSlide!$A$7),($G43+AQ$3),((RiskSlide!$A$10)/260),$C43,$B43,RiskSlide!$H72)</f>
        <v>4255.2258759946026</v>
      </c>
      <c r="AR43">
        <f>PnL(($D$7*(1+AR$2)),$E43,(RiskSlide!$A$7),($G43+AR$3),((RiskSlide!$A$10)/260),$C43,$B43,RiskSlide!$H72)</f>
        <v>3666.6606054757212</v>
      </c>
      <c r="AS43">
        <f>PnL(($D$7*(1+AS$2)),$E43,(RiskSlide!$A$7),($G43+AS$3),((RiskSlide!$A$10)/260),$C43,$B43,RiskSlide!$H72)</f>
        <v>-1030.0339526531445</v>
      </c>
      <c r="AT43">
        <f>PnL(($D$7*(1+AT$2)),$E43,(RiskSlide!$A$7),($G43+AT$3),((RiskSlide!$A$10)/260),$C43,$B43,RiskSlide!$H72)</f>
        <v>-6807.0240939628948</v>
      </c>
      <c r="AU43">
        <f>PnL(($D$7*(1+AU$2)),$E43,(RiskSlide!$A$7),($G43+AU$3),((RiskSlide!$A$10)/260),$C43,$B43,RiskSlide!$H72)</f>
        <v>11371.45236147337</v>
      </c>
      <c r="AV43">
        <f>PnL(($D$7*(1+AV$2)),$E43,(RiskSlide!$A$7),($G43+AV$3),((RiskSlide!$A$10)/260),$C43,$B43,RiskSlide!$H72)</f>
        <v>5623.5964400090552</v>
      </c>
      <c r="AW43">
        <f>PnL(($D$7*(1+AW$2)),$E43,(RiskSlide!$A$7),($G43+AW$3),((RiskSlide!$A$10)/260),$C43,$B43,RiskSlide!$H72)</f>
        <v>1109.1347762693999</v>
      </c>
      <c r="AX43">
        <f>PnL(($D$7*(1+AX$2)),$E43,(RiskSlide!$A$7),($G43+AX$3),((RiskSlide!$A$10)/260),$C43,$B43,RiskSlide!$H72)</f>
        <v>553.30949407877483</v>
      </c>
      <c r="AY43">
        <f>PnL(($D$7*(1+AY$2)),$E43,(RiskSlide!$A$7),($G43+AY$3),((RiskSlide!$A$10)/260),$C43,$B43,RiskSlide!$H72)</f>
        <v>0</v>
      </c>
      <c r="AZ43">
        <f>PnL(($D$7*(1+AZ$2)),$E43,(RiskSlide!$A$7),($G43+AZ$3),((RiskSlide!$A$10)/260),$C43,$B43,RiskSlide!$H72)</f>
        <v>-550.5335484186844</v>
      </c>
      <c r="BA43">
        <f>PnL(($D$7*(1+BA$2)),$E43,(RiskSlide!$A$7),($G43+BA$3),((RiskSlide!$A$10)/260),$C43,$B43,RiskSlide!$H72)</f>
        <v>-1097.9944745705154</v>
      </c>
      <c r="BB43">
        <f>PnL(($D$7*(1+BB$2)),$E43,(RiskSlide!$A$7),($G43+BB$3),((RiskSlide!$A$10)/260),$C43,$B43,RiskSlide!$H72)</f>
        <v>-5312.6055654796291</v>
      </c>
      <c r="BC43">
        <f>PnL(($D$7*(1+BC$2)),$E43,(RiskSlide!$A$7),($G43+BC$3),((RiskSlide!$A$10)/260),$C43,$B43,RiskSlide!$H72)</f>
        <v>-9476.8994135071644</v>
      </c>
      <c r="BD43">
        <f>PnL(($D$7*(1+BD$2)),$E43,(RiskSlide!$A$7),($G43+BD$3),((RiskSlide!$A$10)/260),$C43,$B43,RiskSlide!$H72)</f>
        <v>6870.734984888918</v>
      </c>
      <c r="BE43">
        <f>PnL(($D$7*(1+BE$2)),$E43,(RiskSlide!$A$7),($G43+BE$3),((RiskSlide!$A$10)/260),$C43,$B43,RiskSlide!$H72)</f>
        <v>1463.8263056490132</v>
      </c>
      <c r="BF43">
        <f>PnL(($D$7*(1+BF$2)),$E43,(RiskSlide!$A$7),($G43+BF$3),((RiskSlide!$A$10)/260),$C43,$B43,RiskSlide!$H72)</f>
        <v>-2627.1899378177409</v>
      </c>
      <c r="BG43">
        <f>PnL(($D$7*(1+BG$2)),$E43,(RiskSlide!$A$7),($G43+BG$3),((RiskSlide!$A$10)/260),$C43,$B43,RiskSlide!$H72)</f>
        <v>-3115.5460513773478</v>
      </c>
      <c r="BH43">
        <f>PnL(($D$7*(1+BH$2)),$E43,(RiskSlide!$A$7),($G43+BH$3),((RiskSlide!$A$10)/260),$C43,$B43,RiskSlide!$H72)</f>
        <v>-3597.2317551362748</v>
      </c>
      <c r="BI43">
        <f>PnL(($D$7*(1+BI$2)),$E43,(RiskSlide!$A$7),($G43+BI$3),((RiskSlide!$A$10)/260),$C43,$B43,RiskSlide!$H72)</f>
        <v>-4071.6289005939957</v>
      </c>
      <c r="BJ43">
        <f>PnL(($D$7*(1+BJ$2)),$E43,(RiskSlide!$A$7),($G43+BJ$3),((RiskSlide!$A$10)/260),$C43,$B43,RiskSlide!$H72)</f>
        <v>-4538.0456152409661</v>
      </c>
      <c r="BK43">
        <f>PnL(($D$7*(1+BK$2)),$E43,(RiskSlide!$A$7),($G43+BK$3),((RiskSlide!$A$10)/260),$C43,$B43,RiskSlide!$H72)</f>
        <v>-7865.295575076163</v>
      </c>
      <c r="BL43">
        <f>PnL(($D$7*(1+BL$2)),$E43,(RiskSlide!$A$7),($G43+BL$3),((RiskSlide!$A$10)/260),$C43,$B43,RiskSlide!$H72)</f>
        <v>-10048.567927943383</v>
      </c>
      <c r="BM43">
        <f>PnL(($D$7*(1+BM$2)),$E43,(RiskSlide!$A$7),($G43+BM$3),((RiskSlide!$A$10)/260),$C43,$B43,RiskSlide!$H72)</f>
        <v>3098.4327942472419</v>
      </c>
      <c r="BN43">
        <f>PnL(($D$7*(1+BN$2)),$E43,(RiskSlide!$A$7),($G43+BN$3),((RiskSlide!$A$10)/260),$C43,$B43,RiskSlide!$H72)</f>
        <v>-1819.167476284028</v>
      </c>
      <c r="BO43">
        <f>PnL(($D$7*(1+BO$2)),$E43,(RiskSlide!$A$7),($G43+BO$3),((RiskSlide!$A$10)/260),$C43,$B43,RiskSlide!$H72)</f>
        <v>-5333.8791551375207</v>
      </c>
      <c r="BP43">
        <f>PnL(($D$7*(1+BP$2)),$E43,(RiskSlide!$A$7),($G43+BP$3),((RiskSlide!$A$10)/260),$C43,$B43,RiskSlide!$H72)</f>
        <v>-5733.8984667859022</v>
      </c>
      <c r="BQ43">
        <f>PnL(($D$7*(1+BQ$2)),$E43,(RiskSlide!$A$7),($G43+BQ$3),((RiskSlide!$A$10)/260),$C43,$B43,RiskSlide!$H72)</f>
        <v>-6122.9244975081201</v>
      </c>
      <c r="BR43">
        <f>PnL(($D$7*(1+BR$2)),$E43,(RiskSlide!$A$7),($G43+BR$3),((RiskSlide!$A$10)/260),$C43,$B43,RiskSlide!$H72)</f>
        <v>-6500.1162096488597</v>
      </c>
      <c r="BS43">
        <f>PnL(($D$7*(1+BS$2)),$E43,(RiskSlide!$A$7),($G43+BS$3),((RiskSlide!$A$10)/260),$C43,$B43,RiskSlide!$H72)</f>
        <v>-6864.5629399363797</v>
      </c>
      <c r="BT43">
        <f>PnL(($D$7*(1+BT$2)),$E43,(RiskSlide!$A$7),($G43+BT$3),((RiskSlide!$A$10)/260),$C43,$B43,RiskSlide!$H72)</f>
        <v>-9188.8331413277847</v>
      </c>
      <c r="BU43">
        <f>PnL(($D$7*(1+BU$2)),$E43,(RiskSlide!$A$7),($G43+BU$3),((RiskSlide!$A$10)/260),$C43,$B43,RiskSlide!$H72)</f>
        <v>-10109.559846688428</v>
      </c>
      <c r="BV43">
        <f>PnL(($D$7*(1+BV$2)),$E43,(RiskSlide!$A$7),($G43+BV$3),((RiskSlide!$A$10)/260),$C43,$B43,RiskSlide!$H72)</f>
        <v>-9160.580950259895</v>
      </c>
      <c r="BW43">
        <f>PnL(($D$7*(1+BW$2)),$E43,(RiskSlide!$A$7),($G43+BW$3),((RiskSlide!$A$10)/260),$C43,$B43,RiskSlide!$H72)</f>
        <v>-9908.5028966801019</v>
      </c>
      <c r="BX43">
        <f>PnL(($D$7*(1+BX$2)),$E43,(RiskSlide!$A$7),($G43+BX$3),((RiskSlide!$A$10)/260),$C43,$B43,RiskSlide!$H72)</f>
        <v>-10089.480636716442</v>
      </c>
      <c r="BY43">
        <f>PnL(($D$7*(1+BY$2)),$E43,(RiskSlide!$A$7),($G43+BY$3),((RiskSlide!$A$10)/260),$C43,$B43,RiskSlide!$H72)</f>
        <v>-10096.831137654635</v>
      </c>
      <c r="BZ43">
        <f>PnL(($D$7*(1+BZ$2)),$E43,(RiskSlide!$A$7),($G43+BZ$3),((RiskSlide!$A$10)/260),$C43,$B43,RiskSlide!$H72)</f>
        <v>-10102.233281919354</v>
      </c>
      <c r="CA43">
        <f>PnL(($D$7*(1+CA$2)),$E43,(RiskSlide!$A$7),($G43+CA$3),((RiskSlide!$A$10)/260),$C43,$B43,RiskSlide!$H72)</f>
        <v>-10106.073398459595</v>
      </c>
      <c r="CB43">
        <f>PnL(($D$7*(1+CB$2)),$E43,(RiskSlide!$A$7),($G43+CB$3),((RiskSlide!$A$10)/260),$C43,$B43,RiskSlide!$H72)</f>
        <v>-10108.700600054557</v>
      </c>
      <c r="CC43">
        <f>PnL(($D$7*(1+CC$2)),$E43,(RiskSlide!$A$7),($G43+CC$3),((RiskSlide!$A$10)/260),$C43,$B43,RiskSlide!$H72)</f>
        <v>-10112.74995199331</v>
      </c>
      <c r="CD43">
        <f>PnL(($D$7*(1+CD$2)),$E43,(RiskSlide!$A$7),($G43+CD$3),((RiskSlide!$A$10)/260),$C43,$B43,RiskSlide!$H72)</f>
        <v>-10112.754122722406</v>
      </c>
      <c r="CE43">
        <f>PnL(($D$7*(1+CE$2)),$E43,(RiskSlide!$A$7),($G43+CE$3),((RiskSlide!$A$10)/260),$C43,$B43,RiskSlide!$H72)</f>
        <v>-10105.768101508846</v>
      </c>
      <c r="CF43">
        <f>PnL(($D$7*(1+CF$2)),$E43,(RiskSlide!$A$7),($G43+CF$3),((RiskSlide!$A$10)/260),$C43,$B43,RiskSlide!$H72)</f>
        <v>-10112.622640037804</v>
      </c>
      <c r="CG43">
        <f>PnL(($D$7*(1+CG$2)),$E43,(RiskSlide!$A$7),($G43+CG$3),((RiskSlide!$A$10)/260),$C43,$B43,RiskSlide!$H72)</f>
        <v>-10112.753800186254</v>
      </c>
      <c r="CH43">
        <f>PnL(($D$7*(1+CH$2)),$E43,(RiskSlide!$A$7),($G43+CH$3),((RiskSlide!$A$10)/260),$C43,$B43,RiskSlide!$H72)</f>
        <v>-10112.754013784031</v>
      </c>
      <c r="CI43">
        <f>PnL(($D$7*(1+CI$2)),$E43,(RiskSlide!$A$7),($G43+CI$3),((RiskSlide!$A$10)/260),$C43,$B43,RiskSlide!$H72)</f>
        <v>-10112.754089736207</v>
      </c>
      <c r="CJ43">
        <f>PnL(($D$7*(1+CJ$2)),$E43,(RiskSlide!$A$7),($G43+CJ$3),((RiskSlide!$A$10)/260),$C43,$B43,RiskSlide!$H72)</f>
        <v>-10112.754113908733</v>
      </c>
      <c r="CK43">
        <f>PnL(($D$7*(1+CK$2)),$E43,(RiskSlide!$A$7),($G43+CK$3),((RiskSlide!$A$10)/260),$C43,$B43,RiskSlide!$H72)</f>
        <v>-10112.754120683147</v>
      </c>
      <c r="CL43">
        <f>PnL(($D$7*(1+CL$2)),$E43,(RiskSlide!$A$7),($G43+CL$3),((RiskSlide!$A$10)/260),$C43,$B43,RiskSlide!$H72)</f>
        <v>-10112.754122722406</v>
      </c>
      <c r="CM43">
        <f>PnL(($D$7*(1+CM$2)),$E43,(RiskSlide!$A$7),($G43+CM$3),((RiskSlide!$A$10)/260),$C43,$B43,RiskSlide!$H72)</f>
        <v>-10112.754122722406</v>
      </c>
    </row>
    <row r="44" spans="1:91" x14ac:dyDescent="0.25">
      <c r="A44" t="s">
        <v>39</v>
      </c>
      <c r="B44">
        <v>-12</v>
      </c>
      <c r="C44">
        <v>1</v>
      </c>
      <c r="E44">
        <v>1775</v>
      </c>
      <c r="F44">
        <v>3.5000000000000001E-3</v>
      </c>
      <c r="G44">
        <v>0.13999300000000001</v>
      </c>
      <c r="K44">
        <f>PnL(($D$7*(1+K$2)),$E44,(RiskSlide!$A$7),($G44+K$3),((RiskSlide!$A$10)/260),$C44,$B44,RiskSlide!$H73)</f>
        <v>9662.3218689254245</v>
      </c>
      <c r="L44">
        <f>PnL(($D$7*(1+L$2)),$E44,(RiskSlide!$A$7),($G44+L$3),((RiskSlide!$A$10)/260),$C44,$B44,RiskSlide!$H73)</f>
        <v>9664.8100116665828</v>
      </c>
      <c r="M44">
        <f>PnL(($D$7*(1+M$2)),$E44,(RiskSlide!$A$7),($G44+M$3),((RiskSlide!$A$10)/260),$C44,$B44,RiskSlide!$H73)</f>
        <v>9664.8521942287753</v>
      </c>
      <c r="N44">
        <f>PnL(($D$7*(1+N$2)),$E44,(RiskSlide!$A$7),($G44+N$3),((RiskSlide!$A$10)/260),$C44,$B44,RiskSlide!$H73)</f>
        <v>9664.8522490033592</v>
      </c>
      <c r="O44">
        <f>PnL(($D$7*(1+O$2)),$E44,(RiskSlide!$A$7),($G44+O$3),((RiskSlide!$A$10)/260),$C44,$B44,RiskSlide!$H73)</f>
        <v>9664.852267447357</v>
      </c>
      <c r="P44">
        <f>PnL(($D$7*(1+P$2)),$E44,(RiskSlide!$A$7),($G44+P$3),((RiskSlide!$A$10)/260),$C44,$B44,RiskSlide!$H73)</f>
        <v>9664.8522729593951</v>
      </c>
      <c r="Q44">
        <f>PnL(($D$7*(1+Q$2)),$E44,(RiskSlide!$A$7),($G44+Q$3),((RiskSlide!$A$10)/260),$C44,$B44,RiskSlide!$H73)</f>
        <v>9664.8522743954582</v>
      </c>
      <c r="R44">
        <f>PnL(($D$7*(1+R$2)),$E44,(RiskSlide!$A$7),($G44+R$3),((RiskSlide!$A$10)/260),$C44,$B44,RiskSlide!$H73)</f>
        <v>9664.8522747836978</v>
      </c>
      <c r="S44">
        <f>PnL(($D$7*(1+S$2)),$E44,(RiskSlide!$A$7),($G44+S$3),((RiskSlide!$A$10)/260),$C44,$B44,RiskSlide!$H73)</f>
        <v>9664.8522747836978</v>
      </c>
      <c r="T44">
        <f>PnL(($D$7*(1+T$2)),$E44,(RiskSlide!$A$7),($G44+T$3),((RiskSlide!$A$10)/260),$C44,$B44,RiskSlide!$H73)</f>
        <v>8931.2482772311996</v>
      </c>
      <c r="U44">
        <f>PnL(($D$7*(1+U$2)),$E44,(RiskSlide!$A$7),($G44+U$3),((RiskSlide!$A$10)/260),$C44,$B44,RiskSlide!$H73)</f>
        <v>9462.624270804763</v>
      </c>
      <c r="V44">
        <f>PnL(($D$7*(1+V$2)),$E44,(RiskSlide!$A$7),($G44+V$3),((RiskSlide!$A$10)/260),$C44,$B44,RiskSlide!$H73)</f>
        <v>9631.3449693664516</v>
      </c>
      <c r="W44">
        <f>PnL(($D$7*(1+W$2)),$E44,(RiskSlide!$A$7),($G44+W$3),((RiskSlide!$A$10)/260),$C44,$B44,RiskSlide!$H73)</f>
        <v>9640.3464655331099</v>
      </c>
      <c r="X44">
        <f>PnL(($D$7*(1+X$2)),$E44,(RiskSlide!$A$7),($G44+X$3),((RiskSlide!$A$10)/260),$C44,$B44,RiskSlide!$H73)</f>
        <v>9647.4332567352667</v>
      </c>
      <c r="Y44">
        <f>PnL(($D$7*(1+Y$2)),$E44,(RiskSlide!$A$7),($G44+Y$3),((RiskSlide!$A$10)/260),$C44,$B44,RiskSlide!$H73)</f>
        <v>9652.8667502612188</v>
      </c>
      <c r="Z44">
        <f>PnL(($D$7*(1+Z$2)),$E44,(RiskSlide!$A$7),($G44+Z$3),((RiskSlide!$A$10)/260),$C44,$B44,RiskSlide!$H73)</f>
        <v>9656.9073298168987</v>
      </c>
      <c r="AA44">
        <f>PnL(($D$7*(1+AA$2)),$E44,(RiskSlide!$A$7),($G44+AA$3),((RiskSlide!$A$10)/260),$C44,$B44,RiskSlide!$H73)</f>
        <v>9664.8250165718673</v>
      </c>
      <c r="AB44">
        <f>PnL(($D$7*(1+AB$2)),$E44,(RiskSlide!$A$7),($G44+AB$3),((RiskSlide!$A$10)/260),$C44,$B44,RiskSlide!$H73)</f>
        <v>9664.8522747836978</v>
      </c>
      <c r="AC44">
        <f>PnL(($D$7*(1+AC$2)),$E44,(RiskSlide!$A$7),($G44+AC$3),((RiskSlide!$A$10)/260),$C44,$B44,RiskSlide!$H73)</f>
        <v>49.042686110465183</v>
      </c>
      <c r="AD44">
        <f>PnL(($D$7*(1+AD$2)),$E44,(RiskSlide!$A$7),($G44+AD$3),((RiskSlide!$A$10)/260),$C44,$B44,RiskSlide!$H73)</f>
        <v>2605.9435069250185</v>
      </c>
      <c r="AE44">
        <f>PnL(($D$7*(1+AE$2)),$E44,(RiskSlide!$A$7),($G44+AE$3),((RiskSlide!$A$10)/260),$C44,$B44,RiskSlide!$H73)</f>
        <v>4618.8458059530149</v>
      </c>
      <c r="AF44">
        <f>PnL(($D$7*(1+AF$2)),$E44,(RiskSlide!$A$7),($G44+AF$3),((RiskSlide!$A$10)/260),$C44,$B44,RiskSlide!$H73)</f>
        <v>4867.1237053107916</v>
      </c>
      <c r="AG44">
        <f>PnL(($D$7*(1+AG$2)),$E44,(RiskSlide!$A$7),($G44+AG$3),((RiskSlide!$A$10)/260),$C44,$B44,RiskSlide!$H73)</f>
        <v>5114.4054547948372</v>
      </c>
      <c r="AH44">
        <f>PnL(($D$7*(1+AH$2)),$E44,(RiskSlide!$A$7),($G44+AH$3),((RiskSlide!$A$10)/260),$C44,$B44,RiskSlide!$H73)</f>
        <v>5360.5849581043913</v>
      </c>
      <c r="AI44">
        <f>PnL(($D$7*(1+AI$2)),$E44,(RiskSlide!$A$7),($G44+AI$3),((RiskSlide!$A$10)/260),$C44,$B44,RiskSlide!$H73)</f>
        <v>5605.5407294814586</v>
      </c>
      <c r="AJ44">
        <f>PnL(($D$7*(1+AJ$2)),$E44,(RiskSlide!$A$7),($G44+AJ$3),((RiskSlide!$A$10)/260),$C44,$B44,RiskSlide!$H73)</f>
        <v>7498.4563834417941</v>
      </c>
      <c r="AK44">
        <f>PnL(($D$7*(1+AK$2)),$E44,(RiskSlide!$A$7),($G44+AK$3),((RiskSlide!$A$10)/260),$C44,$B44,RiskSlide!$H73)</f>
        <v>9391.4654433172473</v>
      </c>
      <c r="AL44">
        <f>PnL(($D$7*(1+AL$2)),$E44,(RiskSlide!$A$7),($G44+AL$3),((RiskSlide!$A$10)/260),$C44,$B44,RiskSlide!$H73)</f>
        <v>-2396.9804708062611</v>
      </c>
      <c r="AM44">
        <f>PnL(($D$7*(1+AM$2)),$E44,(RiskSlide!$A$7),($G44+AM$3),((RiskSlide!$A$10)/260),$C44,$B44,RiskSlide!$H73)</f>
        <v>233.87022851379697</v>
      </c>
      <c r="AN44">
        <f>PnL(($D$7*(1+AN$2)),$E44,(RiskSlide!$A$7),($G44+AN$3),((RiskSlide!$A$10)/260),$C44,$B44,RiskSlide!$H73)</f>
        <v>2337.529638768433</v>
      </c>
      <c r="AO44">
        <f>PnL(($D$7*(1+AO$2)),$E44,(RiskSlide!$A$7),($G44+AO$3),((RiskSlide!$A$10)/260),$C44,$B44,RiskSlide!$H73)</f>
        <v>2600.3778655820042</v>
      </c>
      <c r="AP44">
        <f>PnL(($D$7*(1+AP$2)),$E44,(RiskSlide!$A$7),($G44+AP$3),((RiskSlide!$A$10)/260),$C44,$B44,RiskSlide!$H73)</f>
        <v>2863.19279293607</v>
      </c>
      <c r="AQ44">
        <f>PnL(($D$7*(1+AQ$2)),$E44,(RiskSlide!$A$7),($G44+AQ$3),((RiskSlide!$A$10)/260),$C44,$B44,RiskSlide!$H73)</f>
        <v>3125.9706189691315</v>
      </c>
      <c r="AR44">
        <f>PnL(($D$7*(1+AR$2)),$E44,(RiskSlide!$A$7),($G44+AR$3),((RiskSlide!$A$10)/260),$C44,$B44,RiskSlide!$H73)</f>
        <v>3388.7069618338728</v>
      </c>
      <c r="AS44">
        <f>PnL(($D$7*(1+AS$2)),$E44,(RiskSlide!$A$7),($G44+AS$3),((RiskSlide!$A$10)/260),$C44,$B44,RiskSlide!$H73)</f>
        <v>5488.2599240780337</v>
      </c>
      <c r="AT44">
        <f>PnL(($D$7*(1+AT$2)),$E44,(RiskSlide!$A$7),($G44+AT$3),((RiskSlide!$A$10)/260),$C44,$B44,RiskSlide!$H73)</f>
        <v>8092.9484762220454</v>
      </c>
      <c r="AU44">
        <f>PnL(($D$7*(1+AU$2)),$E44,(RiskSlide!$A$7),($G44+AU$3),((RiskSlide!$A$10)/260),$C44,$B44,RiskSlide!$H73)</f>
        <v>-5202.0696859148529</v>
      </c>
      <c r="AV44">
        <f>PnL(($D$7*(1+AV$2)),$E44,(RiskSlide!$A$7),($G44+AV$3),((RiskSlide!$A$10)/260),$C44,$B44,RiskSlide!$H73)</f>
        <v>-2590.9589256910976</v>
      </c>
      <c r="AW44">
        <f>PnL(($D$7*(1+AW$2)),$E44,(RiskSlide!$A$7),($G44+AW$3),((RiskSlide!$A$10)/260),$C44,$B44,RiskSlide!$H73)</f>
        <v>-515.61891302235381</v>
      </c>
      <c r="AX44">
        <f>PnL(($D$7*(1+AX$2)),$E44,(RiskSlide!$A$7),($G44+AX$3),((RiskSlide!$A$10)/260),$C44,$B44,RiskSlide!$H73)</f>
        <v>-257.59932251298778</v>
      </c>
      <c r="AY44">
        <f>PnL(($D$7*(1+AY$2)),$E44,(RiskSlide!$A$7),($G44+AY$3),((RiskSlide!$A$10)/260),$C44,$B44,RiskSlide!$H73)</f>
        <v>0</v>
      </c>
      <c r="AZ44">
        <f>PnL(($D$7*(1+AZ$2)),$E44,(RiskSlide!$A$7),($G44+AZ$3),((RiskSlide!$A$10)/260),$C44,$B44,RiskSlide!$H73)</f>
        <v>257.13305506760662</v>
      </c>
      <c r="BA44">
        <f>PnL(($D$7*(1+BA$2)),$E44,(RiskSlide!$A$7),($G44+BA$3),((RiskSlide!$A$10)/260),$C44,$B44,RiskSlide!$H73)</f>
        <v>513.74693222865062</v>
      </c>
      <c r="BB44">
        <f>PnL(($D$7*(1+BB$2)),$E44,(RiskSlide!$A$7),($G44+BB$3),((RiskSlide!$A$10)/260),$C44,$B44,RiskSlide!$H73)</f>
        <v>2537.8832261192656</v>
      </c>
      <c r="BC44">
        <f>PnL(($D$7*(1+BC$2)),$E44,(RiskSlide!$A$7),($G44+BC$3),((RiskSlide!$A$10)/260),$C44,$B44,RiskSlide!$H73)</f>
        <v>4842.2107988849802</v>
      </c>
      <c r="BD44">
        <f>PnL(($D$7*(1+BD$2)),$E44,(RiskSlide!$A$7),($G44+BD$3),((RiskSlide!$A$10)/260),$C44,$B44,RiskSlide!$H73)</f>
        <v>-8360.7523794186818</v>
      </c>
      <c r="BE44">
        <f>PnL(($D$7*(1+BE$2)),$E44,(RiskSlide!$A$7),($G44+BE$3),((RiskSlide!$A$10)/260),$C44,$B44,RiskSlide!$H73)</f>
        <v>-5859.581957242699</v>
      </c>
      <c r="BF44">
        <f>PnL(($D$7*(1+BF$2)),$E44,(RiskSlide!$A$7),($G44+BF$3),((RiskSlide!$A$10)/260),$C44,$B44,RiskSlide!$H73)</f>
        <v>-3925.1204103524287</v>
      </c>
      <c r="BG44">
        <f>PnL(($D$7*(1+BG$2)),$E44,(RiskSlide!$A$7),($G44+BG$3),((RiskSlide!$A$10)/260),$C44,$B44,RiskSlide!$H73)</f>
        <v>-3690.0100492457568</v>
      </c>
      <c r="BH44">
        <f>PnL(($D$7*(1+BH$2)),$E44,(RiskSlide!$A$7),($G44+BH$3),((RiskSlide!$A$10)/260),$C44,$B44,RiskSlide!$H73)</f>
        <v>-3456.8779239695232</v>
      </c>
      <c r="BI44">
        <f>PnL(($D$7*(1+BI$2)),$E44,(RiskSlide!$A$7),($G44+BI$3),((RiskSlide!$A$10)/260),$C44,$B44,RiskSlide!$H73)</f>
        <v>-3225.9244037738881</v>
      </c>
      <c r="BJ44">
        <f>PnL(($D$7*(1+BJ$2)),$E44,(RiskSlide!$A$7),($G44+BJ$3),((RiskSlide!$A$10)/260),$C44,$B44,RiskSlide!$H73)</f>
        <v>-2997.3769314660785</v>
      </c>
      <c r="BK44">
        <f>PnL(($D$7*(1+BK$2)),$E44,(RiskSlide!$A$7),($G44+BK$3),((RiskSlide!$A$10)/260),$C44,$B44,RiskSlide!$H73)</f>
        <v>-1296.4107685106683</v>
      </c>
      <c r="BL44">
        <f>PnL(($D$7*(1+BL$2)),$E44,(RiskSlide!$A$7),($G44+BL$3),((RiskSlide!$A$10)/260),$C44,$B44,RiskSlide!$H73)</f>
        <v>69.009421203645616</v>
      </c>
      <c r="BM44">
        <f>PnL(($D$7*(1+BM$2)),$E44,(RiskSlide!$A$7),($G44+BM$3),((RiskSlide!$A$10)/260),$C44,$B44,RiskSlide!$H73)</f>
        <v>-11858.045857536854</v>
      </c>
      <c r="BN44">
        <f>PnL(($D$7*(1+BN$2)),$E44,(RiskSlide!$A$7),($G44+BN$3),((RiskSlide!$A$10)/260),$C44,$B44,RiskSlide!$H73)</f>
        <v>-9544.2901025210176</v>
      </c>
      <c r="BO44">
        <f>PnL(($D$7*(1+BO$2)),$E44,(RiskSlide!$A$7),($G44+BO$3),((RiskSlide!$A$10)/260),$C44,$B44,RiskSlide!$H73)</f>
        <v>-7838.7805433701487</v>
      </c>
      <c r="BP44">
        <f>PnL(($D$7*(1+BP$2)),$E44,(RiskSlide!$A$7),($G44+BP$3),((RiskSlide!$A$10)/260),$C44,$B44,RiskSlide!$H73)</f>
        <v>-7639.6916903856436</v>
      </c>
      <c r="BQ44">
        <f>PnL(($D$7*(1+BQ$2)),$E44,(RiskSlide!$A$7),($G44+BQ$3),((RiskSlide!$A$10)/260),$C44,$B44,RiskSlide!$H73)</f>
        <v>-7444.6434448232594</v>
      </c>
      <c r="BR44">
        <f>PnL(($D$7*(1+BR$2)),$E44,(RiskSlide!$A$7),($G44+BR$3),((RiskSlide!$A$10)/260),$C44,$B44,RiskSlide!$H73)</f>
        <v>-7253.98863946034</v>
      </c>
      <c r="BS44">
        <f>PnL(($D$7*(1+BS$2)),$E44,(RiskSlide!$A$7),($G44+BS$3),((RiskSlide!$A$10)/260),$C44,$B44,RiskSlide!$H73)</f>
        <v>-7068.1175137464379</v>
      </c>
      <c r="BT44">
        <f>PnL(($D$7*(1+BT$2)),$E44,(RiskSlide!$A$7),($G44+BT$3),((RiskSlide!$A$10)/260),$C44,$B44,RiskSlide!$H73)</f>
        <v>-5815.5801363337559</v>
      </c>
      <c r="BU44">
        <f>PnL(($D$7*(1+BU$2)),$E44,(RiskSlide!$A$7),($G44+BU$3),((RiskSlide!$A$10)/260),$C44,$B44,RiskSlide!$H73)</f>
        <v>-5203.7780907306114</v>
      </c>
      <c r="BV44">
        <f>PnL(($D$7*(1+BV$2)),$E44,(RiskSlide!$A$7),($G44+BV$3),((RiskSlide!$A$10)/260),$C44,$B44,RiskSlide!$H73)</f>
        <v>-48464.596813563272</v>
      </c>
      <c r="BW44">
        <f>PnL(($D$7*(1+BW$2)),$E44,(RiskSlide!$A$7),($G44+BW$3),((RiskSlide!$A$10)/260),$C44,$B44,RiskSlide!$H73)</f>
        <v>-48077.77006779638</v>
      </c>
      <c r="BX44">
        <f>PnL(($D$7*(1+BX$2)),$E44,(RiskSlide!$A$7),($G44+BX$3),((RiskSlide!$A$10)/260),$C44,$B44,RiskSlide!$H73)</f>
        <v>-47978.155339408928</v>
      </c>
      <c r="BY44">
        <f>PnL(($D$7*(1+BY$2)),$E44,(RiskSlide!$A$7),($G44+BY$3),((RiskSlide!$A$10)/260),$C44,$B44,RiskSlide!$H73)</f>
        <v>-47973.879391706898</v>
      </c>
      <c r="BZ44">
        <f>PnL(($D$7*(1+BZ$2)),$E44,(RiskSlide!$A$7),($G44+BZ$3),((RiskSlide!$A$10)/260),$C44,$B44,RiskSlide!$H73)</f>
        <v>-47970.698122225484</v>
      </c>
      <c r="CA44">
        <f>PnL(($D$7*(1+CA$2)),$E44,(RiskSlide!$A$7),($G44+CA$3),((RiskSlide!$A$10)/260),$C44,$B44,RiskSlide!$H73)</f>
        <v>-47968.407506393305</v>
      </c>
      <c r="CB44">
        <f>PnL(($D$7*(1+CB$2)),$E44,(RiskSlide!$A$7),($G44+CB$3),((RiskSlide!$A$10)/260),$C44,$B44,RiskSlide!$H73)</f>
        <v>-47966.819264477497</v>
      </c>
      <c r="CC44">
        <f>PnL(($D$7*(1+CC$2)),$E44,(RiskSlide!$A$7),($G44+CC$3),((RiskSlide!$A$10)/260),$C44,$B44,RiskSlide!$H73)</f>
        <v>-47964.29513749927</v>
      </c>
      <c r="CD44">
        <f>PnL(($D$7*(1+CD$2)),$E44,(RiskSlide!$A$7),($G44+CD$3),((RiskSlide!$A$10)/260),$C44,$B44,RiskSlide!$H73)</f>
        <v>-47964.292335155231</v>
      </c>
      <c r="CE44">
        <f>PnL(($D$7*(1+CE$2)),$E44,(RiskSlide!$A$7),($G44+CE$3),((RiskSlide!$A$10)/260),$C44,$B44,RiskSlide!$H73)</f>
        <v>-101423.82731488542</v>
      </c>
      <c r="CF44">
        <f>PnL(($D$7*(1+CF$2)),$E44,(RiskSlide!$A$7),($G44+CF$3),((RiskSlide!$A$10)/260),$C44,$B44,RiskSlide!$H73)</f>
        <v>-101420.16499108022</v>
      </c>
      <c r="CG44">
        <f>PnL(($D$7*(1+CG$2)),$E44,(RiskSlide!$A$7),($G44+CG$3),((RiskSlide!$A$10)/260),$C44,$B44,RiskSlide!$H73)</f>
        <v>-101420.09251209229</v>
      </c>
      <c r="CH44">
        <f>PnL(($D$7*(1+CH$2)),$E44,(RiskSlide!$A$7),($G44+CH$3),((RiskSlide!$A$10)/260),$C44,$B44,RiskSlide!$H73)</f>
        <v>-101420.09239441823</v>
      </c>
      <c r="CI44">
        <f>PnL(($D$7*(1+CI$2)),$E44,(RiskSlide!$A$7),($G44+CI$3),((RiskSlide!$A$10)/260),$C44,$B44,RiskSlide!$H73)</f>
        <v>-101420.09235289248</v>
      </c>
      <c r="CJ44">
        <f>PnL(($D$7*(1+CJ$2)),$E44,(RiskSlide!$A$7),($G44+CJ$3),((RiskSlide!$A$10)/260),$C44,$B44,RiskSlide!$H73)</f>
        <v>-101420.09233982071</v>
      </c>
      <c r="CK44">
        <f>PnL(($D$7*(1+CK$2)),$E44,(RiskSlide!$A$7),($G44+CK$3),((RiskSlide!$A$10)/260),$C44,$B44,RiskSlide!$H73)</f>
        <v>-101420.09233621243</v>
      </c>
      <c r="CL44">
        <f>PnL(($D$7*(1+CL$2)),$E44,(RiskSlide!$A$7),($G44+CL$3),((RiskSlide!$A$10)/260),$C44,$B44,RiskSlide!$H73)</f>
        <v>-101420.09233515528</v>
      </c>
      <c r="CM44">
        <f>PnL(($D$7*(1+CM$2)),$E44,(RiskSlide!$A$7),($G44+CM$3),((RiskSlide!$A$10)/260),$C44,$B44,RiskSlide!$H73)</f>
        <v>-101420.09233515528</v>
      </c>
    </row>
    <row r="45" spans="1:91" x14ac:dyDescent="0.25">
      <c r="A45" t="s">
        <v>40</v>
      </c>
      <c r="B45">
        <v>-24</v>
      </c>
      <c r="C45">
        <v>0</v>
      </c>
      <c r="E45">
        <v>1775</v>
      </c>
      <c r="F45">
        <v>3.5000000000000001E-3</v>
      </c>
      <c r="G45">
        <v>0.13999300000000001</v>
      </c>
      <c r="K45">
        <f>PnL(($D$7*(1+K$2)),$E45,(RiskSlide!$A$7),($G45+K$3),((RiskSlide!$A$10)/260),$C45,$B45,RiskSlide!$H74)</f>
        <v>-194498.55626214895</v>
      </c>
      <c r="L45">
        <f>PnL(($D$7*(1+L$2)),$E45,(RiskSlide!$A$7),($G45+L$3),((RiskSlide!$A$10)/260),$C45,$B45,RiskSlide!$H74)</f>
        <v>-194493.57997666684</v>
      </c>
      <c r="M45">
        <f>PnL(($D$7*(1+M$2)),$E45,(RiskSlide!$A$7),($G45+M$3),((RiskSlide!$A$10)/260),$C45,$B45,RiskSlide!$H74)</f>
        <v>-194493.4956115424</v>
      </c>
      <c r="N45">
        <f>PnL(($D$7*(1+N$2)),$E45,(RiskSlide!$A$7),($G45+N$3),((RiskSlide!$A$10)/260),$C45,$B45,RiskSlide!$H74)</f>
        <v>-194493.49550199322</v>
      </c>
      <c r="O45">
        <f>PnL(($D$7*(1+O$2)),$E45,(RiskSlide!$A$7),($G45+O$3),((RiskSlide!$A$10)/260),$C45,$B45,RiskSlide!$H74)</f>
        <v>-194493.49546510549</v>
      </c>
      <c r="P45">
        <f>PnL(($D$7*(1+P$2)),$E45,(RiskSlide!$A$7),($G45+P$3),((RiskSlide!$A$10)/260),$C45,$B45,RiskSlide!$H74)</f>
        <v>-194493.49545408104</v>
      </c>
      <c r="Q45">
        <f>PnL(($D$7*(1+Q$2)),$E45,(RiskSlide!$A$7),($G45+Q$3),((RiskSlide!$A$10)/260),$C45,$B45,RiskSlide!$H74)</f>
        <v>-194493.49545120905</v>
      </c>
      <c r="R45">
        <f>PnL(($D$7*(1+R$2)),$E45,(RiskSlide!$A$7),($G45+R$3),((RiskSlide!$A$10)/260),$C45,$B45,RiskSlide!$H74)</f>
        <v>-194493.4954504325</v>
      </c>
      <c r="S45">
        <f>PnL(($D$7*(1+S$2)),$E45,(RiskSlide!$A$7),($G45+S$3),((RiskSlide!$A$10)/260),$C45,$B45,RiskSlide!$H74)</f>
        <v>-194493.4954504325</v>
      </c>
      <c r="T45">
        <f>PnL(($D$7*(1+T$2)),$E45,(RiskSlide!$A$7),($G45+T$3),((RiskSlide!$A$10)/260),$C45,$B45,RiskSlide!$H74)</f>
        <v>-89049.103445537636</v>
      </c>
      <c r="U45">
        <f>PnL(($D$7*(1+U$2)),$E45,(RiskSlide!$A$7),($G45+U$3),((RiskSlide!$A$10)/260),$C45,$B45,RiskSlide!$H74)</f>
        <v>-87986.351458390433</v>
      </c>
      <c r="V45">
        <f>PnL(($D$7*(1+V$2)),$E45,(RiskSlide!$A$7),($G45+V$3),((RiskSlide!$A$10)/260),$C45,$B45,RiskSlide!$H74)</f>
        <v>-87648.910061267263</v>
      </c>
      <c r="W45">
        <f>PnL(($D$7*(1+W$2)),$E45,(RiskSlide!$A$7),($G45+W$3),((RiskSlide!$A$10)/260),$C45,$B45,RiskSlide!$H74)</f>
        <v>-87630.907068934001</v>
      </c>
      <c r="X45">
        <f>PnL(($D$7*(1+X$2)),$E45,(RiskSlide!$A$7),($G45+X$3),((RiskSlide!$A$10)/260),$C45,$B45,RiskSlide!$H74)</f>
        <v>-87616.73348652976</v>
      </c>
      <c r="Y45">
        <f>PnL(($D$7*(1+Y$2)),$E45,(RiskSlide!$A$7),($G45+Y$3),((RiskSlide!$A$10)/260),$C45,$B45,RiskSlide!$H74)</f>
        <v>-87605.866499477444</v>
      </c>
      <c r="Z45">
        <f>PnL(($D$7*(1+Z$2)),$E45,(RiskSlide!$A$7),($G45+Z$3),((RiskSlide!$A$10)/260),$C45,$B45,RiskSlide!$H74)</f>
        <v>-87597.785340366594</v>
      </c>
      <c r="AA45">
        <f>PnL(($D$7*(1+AA$2)),$E45,(RiskSlide!$A$7),($G45+AA$3),((RiskSlide!$A$10)/260),$C45,$B45,RiskSlide!$H74)</f>
        <v>-87581.949966856162</v>
      </c>
      <c r="AB45">
        <f>PnL(($D$7*(1+AB$2)),$E45,(RiskSlide!$A$7),($G45+AB$3),((RiskSlide!$A$10)/260),$C45,$B45,RiskSlide!$H74)</f>
        <v>-87581.895450432698</v>
      </c>
      <c r="AC45">
        <f>PnL(($D$7*(1+AC$2)),$E45,(RiskSlide!$A$7),($G45+AC$3),((RiskSlide!$A$10)/260),$C45,$B45,RiskSlide!$H74)</f>
        <v>-21284.234627778867</v>
      </c>
      <c r="AD45">
        <f>PnL(($D$7*(1+AD$2)),$E45,(RiskSlide!$A$7),($G45+AD$3),((RiskSlide!$A$10)/260),$C45,$B45,RiskSlide!$H74)</f>
        <v>-16170.432986149899</v>
      </c>
      <c r="AE45">
        <f>PnL(($D$7*(1+AE$2)),$E45,(RiskSlide!$A$7),($G45+AE$3),((RiskSlide!$A$10)/260),$C45,$B45,RiskSlide!$H74)</f>
        <v>-12144.62838809377</v>
      </c>
      <c r="AF45">
        <f>PnL(($D$7*(1+AF$2)),$E45,(RiskSlide!$A$7),($G45+AF$3),((RiskSlide!$A$10)/260),$C45,$B45,RiskSlide!$H74)</f>
        <v>-11648.072589378353</v>
      </c>
      <c r="AG45">
        <f>PnL(($D$7*(1+AG$2)),$E45,(RiskSlide!$A$7),($G45+AG$3),((RiskSlide!$A$10)/260),$C45,$B45,RiskSlide!$H74)</f>
        <v>-11153.509090410262</v>
      </c>
      <c r="AH45">
        <f>PnL(($D$7*(1+AH$2)),$E45,(RiskSlide!$A$7),($G45+AH$3),((RiskSlide!$A$10)/260),$C45,$B45,RiskSlide!$H74)</f>
        <v>-10661.15008379129</v>
      </c>
      <c r="AI45">
        <f>PnL(($D$7*(1+AI$2)),$E45,(RiskSlide!$A$7),($G45+AI$3),((RiskSlide!$A$10)/260),$C45,$B45,RiskSlide!$H74)</f>
        <v>-10171.238541037019</v>
      </c>
      <c r="AJ45">
        <f>PnL(($D$7*(1+AJ$2)),$E45,(RiskSlide!$A$7),($G45+AJ$3),((RiskSlide!$A$10)/260),$C45,$B45,RiskSlide!$H74)</f>
        <v>-6385.4072331166208</v>
      </c>
      <c r="AK45">
        <f>PnL(($D$7*(1+AK$2)),$E45,(RiskSlide!$A$7),($G45+AK$3),((RiskSlide!$A$10)/260),$C45,$B45,RiskSlide!$H74)</f>
        <v>-2599.3891133653051</v>
      </c>
      <c r="AL45">
        <f>PnL(($D$7*(1+AL$2)),$E45,(RiskSlide!$A$7),($G45+AL$3),((RiskSlide!$A$10)/260),$C45,$B45,RiskSlide!$H74)</f>
        <v>-15485.120941612695</v>
      </c>
      <c r="AM45">
        <f>PnL(($D$7*(1+AM$2)),$E45,(RiskSlide!$A$7),($G45+AM$3),((RiskSlide!$A$10)/260),$C45,$B45,RiskSlide!$H74)</f>
        <v>-10223.419542972306</v>
      </c>
      <c r="AN45">
        <f>PnL(($D$7*(1+AN$2)),$E45,(RiskSlide!$A$7),($G45+AN$3),((RiskSlide!$A$10)/260),$C45,$B45,RiskSlide!$H74)</f>
        <v>-6016.1007224633067</v>
      </c>
      <c r="AO45">
        <f>PnL(($D$7*(1+AO$2)),$E45,(RiskSlide!$A$7),($G45+AO$3),((RiskSlide!$A$10)/260),$C45,$B45,RiskSlide!$H74)</f>
        <v>-5490.4042688358913</v>
      </c>
      <c r="AP45">
        <f>PnL(($D$7*(1+AP$2)),$E45,(RiskSlide!$A$7),($G45+AP$3),((RiskSlide!$A$10)/260),$C45,$B45,RiskSlide!$H74)</f>
        <v>-4964.7744141277599</v>
      </c>
      <c r="AQ45">
        <f>PnL(($D$7*(1+AQ$2)),$E45,(RiskSlide!$A$7),($G45+AQ$3),((RiskSlide!$A$10)/260),$C45,$B45,RiskSlide!$H74)</f>
        <v>-4439.2187620617733</v>
      </c>
      <c r="AR45">
        <f>PnL(($D$7*(1+AR$2)),$E45,(RiskSlide!$A$7),($G45+AR$3),((RiskSlide!$A$10)/260),$C45,$B45,RiskSlide!$H74)</f>
        <v>-3913.7460763321542</v>
      </c>
      <c r="AS45">
        <f>PnL(($D$7*(1+AS$2)),$E45,(RiskSlide!$A$7),($G45+AS$3),((RiskSlide!$A$10)/260),$C45,$B45,RiskSlide!$H74)</f>
        <v>285.35984815644042</v>
      </c>
      <c r="AT45">
        <f>PnL(($D$7*(1+AT$2)),$E45,(RiskSlide!$A$7),($G45+AT$3),((RiskSlide!$A$10)/260),$C45,$B45,RiskSlide!$H74)</f>
        <v>5494.7369524440546</v>
      </c>
      <c r="AU45">
        <f>PnL(($D$7*(1+AU$2)),$E45,(RiskSlide!$A$7),($G45+AU$3),((RiskSlide!$A$10)/260),$C45,$B45,RiskSlide!$H74)</f>
        <v>-10404.139371829842</v>
      </c>
      <c r="AV45">
        <f>PnL(($D$7*(1+AV$2)),$E45,(RiskSlide!$A$7),($G45+AV$3),((RiskSlide!$A$10)/260),$C45,$B45,RiskSlide!$H74)</f>
        <v>-5181.9178513820589</v>
      </c>
      <c r="AW45">
        <f>PnL(($D$7*(1+AW$2)),$E45,(RiskSlide!$A$7),($G45+AW$3),((RiskSlide!$A$10)/260),$C45,$B45,RiskSlide!$H74)</f>
        <v>-1031.2378260445712</v>
      </c>
      <c r="AX45">
        <f>PnL(($D$7*(1+AX$2)),$E45,(RiskSlide!$A$7),($G45+AX$3),((RiskSlide!$A$10)/260),$C45,$B45,RiskSlide!$H74)</f>
        <v>-515.19864502611199</v>
      </c>
      <c r="AY45">
        <f>PnL(($D$7*(1+AY$2)),$E45,(RiskSlide!$A$7),($G45+AY$3),((RiskSlide!$A$10)/260),$C45,$B45,RiskSlide!$H74)</f>
        <v>0</v>
      </c>
      <c r="AZ45">
        <f>PnL(($D$7*(1+AZ$2)),$E45,(RiskSlide!$A$7),($G45+AZ$3),((RiskSlide!$A$10)/260),$C45,$B45,RiskSlide!$H74)</f>
        <v>514.26611013534966</v>
      </c>
      <c r="BA45">
        <f>PnL(($D$7*(1+BA$2)),$E45,(RiskSlide!$A$7),($G45+BA$3),((RiskSlide!$A$10)/260),$C45,$B45,RiskSlide!$H74)</f>
        <v>1027.4938644575741</v>
      </c>
      <c r="BB45">
        <f>PnL(($D$7*(1+BB$2)),$E45,(RiskSlide!$A$7),($G45+BB$3),((RiskSlide!$A$10)/260),$C45,$B45,RiskSlide!$H74)</f>
        <v>5075.766452238804</v>
      </c>
      <c r="BC45">
        <f>PnL(($D$7*(1+BC$2)),$E45,(RiskSlide!$A$7),($G45+BC$3),((RiskSlide!$A$10)/260),$C45,$B45,RiskSlide!$H74)</f>
        <v>9684.4215977695512</v>
      </c>
      <c r="BD45">
        <f>PnL(($D$7*(1+BD$2)),$E45,(RiskSlide!$A$7),($G45+BD$3),((RiskSlide!$A$10)/260),$C45,$B45,RiskSlide!$H74)</f>
        <v>-6030.3447588374638</v>
      </c>
      <c r="BE45">
        <f>PnL(($D$7*(1+BE$2)),$E45,(RiskSlide!$A$7),($G45+BE$3),((RiskSlide!$A$10)/260),$C45,$B45,RiskSlide!$H74)</f>
        <v>-1028.003914485771</v>
      </c>
      <c r="BF45">
        <f>PnL(($D$7*(1+BF$2)),$E45,(RiskSlide!$A$7),($G45+BF$3),((RiskSlide!$A$10)/260),$C45,$B45,RiskSlide!$H74)</f>
        <v>2840.9191792950423</v>
      </c>
      <c r="BG45">
        <f>PnL(($D$7*(1+BG$2)),$E45,(RiskSlide!$A$7),($G45+BG$3),((RiskSlide!$A$10)/260),$C45,$B45,RiskSlide!$H74)</f>
        <v>3311.1399015082497</v>
      </c>
      <c r="BH45">
        <f>PnL(($D$7*(1+BH$2)),$E45,(RiskSlide!$A$7),($G45+BH$3),((RiskSlide!$A$10)/260),$C45,$B45,RiskSlide!$H74)</f>
        <v>3777.4041520605806</v>
      </c>
      <c r="BI45">
        <f>PnL(($D$7*(1+BI$2)),$E45,(RiskSlide!$A$7),($G45+BI$3),((RiskSlide!$A$10)/260),$C45,$B45,RiskSlide!$H74)</f>
        <v>4239.31119245226</v>
      </c>
      <c r="BJ45">
        <f>PnL(($D$7*(1+BJ$2)),$E45,(RiskSlide!$A$7),($G45+BJ$3),((RiskSlide!$A$10)/260),$C45,$B45,RiskSlide!$H74)</f>
        <v>4696.4061370674699</v>
      </c>
      <c r="BK45">
        <f>PnL(($D$7*(1+BK$2)),$E45,(RiskSlide!$A$7),($G45+BK$3),((RiskSlide!$A$10)/260),$C45,$B45,RiskSlide!$H74)</f>
        <v>8098.3384629782904</v>
      </c>
      <c r="BL45">
        <f>PnL(($D$7*(1+BL$2)),$E45,(RiskSlide!$A$7),($G45+BL$3),((RiskSlide!$A$10)/260),$C45,$B45,RiskSlide!$H74)</f>
        <v>10829.178842406918</v>
      </c>
      <c r="BM45">
        <f>PnL(($D$7*(1+BM$2)),$E45,(RiskSlide!$A$7),($G45+BM$3),((RiskSlide!$A$10)/260),$C45,$B45,RiskSlide!$H74)</f>
        <v>-2333.7717150733624</v>
      </c>
      <c r="BN45">
        <f>PnL(($D$7*(1+BN$2)),$E45,(RiskSlide!$A$7),($G45+BN$3),((RiskSlide!$A$10)/260),$C45,$B45,RiskSlide!$H74)</f>
        <v>2293.7397949581737</v>
      </c>
      <c r="BO45">
        <f>PnL(($D$7*(1+BO$2)),$E45,(RiskSlide!$A$7),($G45+BO$3),((RiskSlide!$A$10)/260),$C45,$B45,RiskSlide!$H74)</f>
        <v>5704.7589132600478</v>
      </c>
      <c r="BP45">
        <f>PnL(($D$7*(1+BP$2)),$E45,(RiskSlide!$A$7),($G45+BP$3),((RiskSlide!$A$10)/260),$C45,$B45,RiskSlide!$H74)</f>
        <v>6102.9366192291945</v>
      </c>
      <c r="BQ45">
        <f>PnL(($D$7*(1+BQ$2)),$E45,(RiskSlide!$A$7),($G45+BQ$3),((RiskSlide!$A$10)/260),$C45,$B45,RiskSlide!$H74)</f>
        <v>6493.033110353349</v>
      </c>
      <c r="BR45">
        <f>PnL(($D$7*(1+BR$2)),$E45,(RiskSlide!$A$7),($G45+BR$3),((RiskSlide!$A$10)/260),$C45,$B45,RiskSlide!$H74)</f>
        <v>6874.3427210795971</v>
      </c>
      <c r="BS45">
        <f>PnL(($D$7*(1+BS$2)),$E45,(RiskSlide!$A$7),($G45+BS$3),((RiskSlide!$A$10)/260),$C45,$B45,RiskSlide!$H74)</f>
        <v>7246.0849725073331</v>
      </c>
      <c r="BT45">
        <f>PnL(($D$7*(1+BT$2)),$E45,(RiskSlide!$A$7),($G45+BT$3),((RiskSlide!$A$10)/260),$C45,$B45,RiskSlide!$H74)</f>
        <v>9751.1597273327643</v>
      </c>
      <c r="BU45">
        <f>PnL(($D$7*(1+BU$2)),$E45,(RiskSlide!$A$7),($G45+BU$3),((RiskSlide!$A$10)/260),$C45,$B45,RiskSlide!$H74)</f>
        <v>10974.763818538877</v>
      </c>
      <c r="BV45">
        <f>PnL(($D$7*(1+BV$2)),$E45,(RiskSlide!$A$7),($G45+BV$3),((RiskSlide!$A$10)/260),$C45,$B45,RiskSlide!$H74)</f>
        <v>9982.4063728737256</v>
      </c>
      <c r="BW45">
        <f>PnL(($D$7*(1+BW$2)),$E45,(RiskSlide!$A$7),($G45+BW$3),((RiskSlide!$A$10)/260),$C45,$B45,RiskSlide!$H74)</f>
        <v>10756.059864407402</v>
      </c>
      <c r="BX45">
        <f>PnL(($D$7*(1+BX$2)),$E45,(RiskSlide!$A$7),($G45+BX$3),((RiskSlide!$A$10)/260),$C45,$B45,RiskSlide!$H74)</f>
        <v>10955.289321182243</v>
      </c>
      <c r="BY45">
        <f>PnL(($D$7*(1+BY$2)),$E45,(RiskSlide!$A$7),($G45+BY$3),((RiskSlide!$A$10)/260),$C45,$B45,RiskSlide!$H74)</f>
        <v>10963.841216586028</v>
      </c>
      <c r="BZ45">
        <f>PnL(($D$7*(1+BZ$2)),$E45,(RiskSlide!$A$7),($G45+BZ$3),((RiskSlide!$A$10)/260),$C45,$B45,RiskSlide!$H74)</f>
        <v>10970.20375554913</v>
      </c>
      <c r="CA45">
        <f>PnL(($D$7*(1+CA$2)),$E45,(RiskSlide!$A$7),($G45+CA$3),((RiskSlide!$A$10)/260),$C45,$B45,RiskSlide!$H74)</f>
        <v>10974.784987213483</v>
      </c>
      <c r="CB45">
        <f>PnL(($D$7*(1+CB$2)),$E45,(RiskSlide!$A$7),($G45+CB$3),((RiskSlide!$A$10)/260),$C45,$B45,RiskSlide!$H74)</f>
        <v>10977.961471045126</v>
      </c>
      <c r="CC45">
        <f>PnL(($D$7*(1+CC$2)),$E45,(RiskSlide!$A$7),($G45+CC$3),((RiskSlide!$A$10)/260),$C45,$B45,RiskSlide!$H74)</f>
        <v>10983.009725001639</v>
      </c>
      <c r="CD45">
        <f>PnL(($D$7*(1+CD$2)),$E45,(RiskSlide!$A$7),($G45+CD$3),((RiskSlide!$A$10)/260),$C45,$B45,RiskSlide!$H74)</f>
        <v>10983.015329689624</v>
      </c>
      <c r="CE45">
        <f>PnL(($D$7*(1+CE$2)),$E45,(RiskSlide!$A$7),($G45+CE$3),((RiskSlide!$A$10)/260),$C45,$B45,RiskSlide!$H74)</f>
        <v>10975.545370229296</v>
      </c>
      <c r="CF45">
        <f>PnL(($D$7*(1+CF$2)),$E45,(RiskSlide!$A$7),($G45+CF$3),((RiskSlide!$A$10)/260),$C45,$B45,RiskSlide!$H74)</f>
        <v>10982.870017839776</v>
      </c>
      <c r="CG45">
        <f>PnL(($D$7*(1+CG$2)),$E45,(RiskSlide!$A$7),($G45+CG$3),((RiskSlide!$A$10)/260),$C45,$B45,RiskSlide!$H74)</f>
        <v>10983.014975815611</v>
      </c>
      <c r="CH45">
        <f>PnL(($D$7*(1+CH$2)),$E45,(RiskSlide!$A$7),($G45+CH$3),((RiskSlide!$A$10)/260),$C45,$B45,RiskSlide!$H74)</f>
        <v>10983.015211163756</v>
      </c>
      <c r="CI45">
        <f>PnL(($D$7*(1+CI$2)),$E45,(RiskSlide!$A$7),($G45+CI$3),((RiskSlide!$A$10)/260),$C45,$B45,RiskSlide!$H74)</f>
        <v>10983.01529421508</v>
      </c>
      <c r="CJ45">
        <f>PnL(($D$7*(1+CJ$2)),$E45,(RiskSlide!$A$7),($G45+CJ$3),((RiskSlide!$A$10)/260),$C45,$B45,RiskSlide!$H74)</f>
        <v>10983.015320358892</v>
      </c>
      <c r="CK45">
        <f>PnL(($D$7*(1+CK$2)),$E45,(RiskSlide!$A$7),($G45+CK$3),((RiskSlide!$A$10)/260),$C45,$B45,RiskSlide!$H74)</f>
        <v>10983.015327575376</v>
      </c>
      <c r="CL45">
        <f>PnL(($D$7*(1+CL$2)),$E45,(RiskSlide!$A$7),($G45+CL$3),((RiskSlide!$A$10)/260),$C45,$B45,RiskSlide!$H74)</f>
        <v>10983.015329689624</v>
      </c>
      <c r="CM45">
        <f>PnL(($D$7*(1+CM$2)),$E45,(RiskSlide!$A$7),($G45+CM$3),((RiskSlide!$A$10)/260),$C45,$B45,RiskSlide!$H74)</f>
        <v>10983.015329689624</v>
      </c>
    </row>
    <row r="46" spans="1:91" x14ac:dyDescent="0.25">
      <c r="A46" t="s">
        <v>41</v>
      </c>
      <c r="B46">
        <v>-25</v>
      </c>
      <c r="C46">
        <v>1</v>
      </c>
      <c r="E46">
        <v>1780</v>
      </c>
      <c r="F46">
        <v>3.5000000000000001E-3</v>
      </c>
      <c r="G46">
        <v>0.13681699999999999</v>
      </c>
      <c r="K46">
        <f>PnL(($D$7*(1+K$2)),$E46,(RiskSlide!$A$7),($G46+K$3),((RiskSlide!$A$10)/260),$C46,$B46,RiskSlide!$H75)</f>
        <v>16321.674582532176</v>
      </c>
      <c r="L46">
        <f>PnL(($D$7*(1+L$2)),$E46,(RiskSlide!$A$7),($G46+L$3),((RiskSlide!$A$10)/260),$C46,$B46,RiskSlide!$H75)</f>
        <v>16324.615943367748</v>
      </c>
      <c r="M46">
        <f>PnL(($D$7*(1+M$2)),$E46,(RiskSlide!$A$7),($G46+M$3),((RiskSlide!$A$10)/260),$C46,$B46,RiskSlide!$H75)</f>
        <v>16324.649957915917</v>
      </c>
      <c r="N46">
        <f>PnL(($D$7*(1+N$2)),$E46,(RiskSlide!$A$7),($G46+N$3),((RiskSlide!$A$10)/260),$C46,$B46,RiskSlide!$H75)</f>
        <v>16324.649981551398</v>
      </c>
      <c r="O46">
        <f>PnL(($D$7*(1+O$2)),$E46,(RiskSlide!$A$7),($G46+O$3),((RiskSlide!$A$10)/260),$C46,$B46,RiskSlide!$H75)</f>
        <v>16324.649988480271</v>
      </c>
      <c r="P46">
        <f>PnL(($D$7*(1+P$2)),$E46,(RiskSlide!$A$7),($G46+P$3),((RiskSlide!$A$10)/260),$C46,$B46,RiskSlide!$H75)</f>
        <v>16324.649990250593</v>
      </c>
      <c r="Q46">
        <f>PnL(($D$7*(1+Q$2)),$E46,(RiskSlide!$A$7),($G46+Q$3),((RiskSlide!$A$10)/260),$C46,$B46,RiskSlide!$H75)</f>
        <v>16324.649990636584</v>
      </c>
      <c r="R46">
        <f>PnL(($D$7*(1+R$2)),$E46,(RiskSlide!$A$7),($G46+R$3),((RiskSlide!$A$10)/260),$C46,$B46,RiskSlide!$H75)</f>
        <v>16324.649990718142</v>
      </c>
      <c r="S46">
        <f>PnL(($D$7*(1+S$2)),$E46,(RiskSlide!$A$7),($G46+S$3),((RiskSlide!$A$10)/260),$C46,$B46,RiskSlide!$H75)</f>
        <v>16324.649990718142</v>
      </c>
      <c r="T46">
        <f>PnL(($D$7*(1+T$2)),$E46,(RiskSlide!$A$7),($G46+T$3),((RiskSlide!$A$10)/260),$C46,$B46,RiskSlide!$H75)</f>
        <v>15184.121280026677</v>
      </c>
      <c r="U46">
        <f>PnL(($D$7*(1+U$2)),$E46,(RiskSlide!$A$7),($G46+U$3),((RiskSlide!$A$10)/260),$C46,$B46,RiskSlide!$H75)</f>
        <v>16054.300682841336</v>
      </c>
      <c r="V46">
        <f>PnL(($D$7*(1+V$2)),$E46,(RiskSlide!$A$7),($G46+V$3),((RiskSlide!$A$10)/260),$C46,$B46,RiskSlide!$H75)</f>
        <v>16289.867135721652</v>
      </c>
      <c r="W46">
        <f>PnL(($D$7*(1+W$2)),$E46,(RiskSlide!$A$7),($G46+W$3),((RiskSlide!$A$10)/260),$C46,$B46,RiskSlide!$H75)</f>
        <v>16300.415059990451</v>
      </c>
      <c r="X46">
        <f>PnL(($D$7*(1+X$2)),$E46,(RiskSlide!$A$7),($G46+X$3),((RiskSlide!$A$10)/260),$C46,$B46,RiskSlide!$H75)</f>
        <v>16308.333627411999</v>
      </c>
      <c r="Y46">
        <f>PnL(($D$7*(1+Y$2)),$E46,(RiskSlide!$A$7),($G46+Y$3),((RiskSlide!$A$10)/260),$C46,$B46,RiskSlide!$H75)</f>
        <v>16314.088166300638</v>
      </c>
      <c r="Z46">
        <f>PnL(($D$7*(1+Z$2)),$E46,(RiskSlide!$A$7),($G46+Z$3),((RiskSlide!$A$10)/260),$C46,$B46,RiskSlide!$H75)</f>
        <v>16318.115790348395</v>
      </c>
      <c r="AA46">
        <f>PnL(($D$7*(1+AA$2)),$E46,(RiskSlide!$A$7),($G46+AA$3),((RiskSlide!$A$10)/260),$C46,$B46,RiskSlide!$H75)</f>
        <v>16324.642716378245</v>
      </c>
      <c r="AB46">
        <f>PnL(($D$7*(1+AB$2)),$E46,(RiskSlide!$A$7),($G46+AB$3),((RiskSlide!$A$10)/260),$C46,$B46,RiskSlide!$H75)</f>
        <v>16324.649990718142</v>
      </c>
      <c r="AC46">
        <f>PnL(($D$7*(1+AC$2)),$E46,(RiskSlide!$A$7),($G46+AC$3),((RiskSlide!$A$10)/260),$C46,$B46,RiskSlide!$H75)</f>
        <v>-911.96956678516017</v>
      </c>
      <c r="AD46">
        <f>PnL(($D$7*(1+AD$2)),$E46,(RiskSlide!$A$7),($G46+AD$3),((RiskSlide!$A$10)/260),$C46,$B46,RiskSlide!$H75)</f>
        <v>4254.5149167598593</v>
      </c>
      <c r="AE46">
        <f>PnL(($D$7*(1+AE$2)),$E46,(RiskSlide!$A$7),($G46+AE$3),((RiskSlide!$A$10)/260),$C46,$B46,RiskSlide!$H75)</f>
        <v>8241.5515068426266</v>
      </c>
      <c r="AF46">
        <f>PnL(($D$7*(1+AF$2)),$E46,(RiskSlide!$A$7),($G46+AF$3),((RiskSlide!$A$10)/260),$C46,$B46,RiskSlide!$H75)</f>
        <v>8725.103883163285</v>
      </c>
      <c r="AG46">
        <f>PnL(($D$7*(1+AG$2)),$E46,(RiskSlide!$A$7),($G46+AG$3),((RiskSlide!$A$10)/260),$C46,$B46,RiskSlide!$H75)</f>
        <v>9204.2569606124398</v>
      </c>
      <c r="AH46">
        <f>PnL(($D$7*(1+AH$2)),$E46,(RiskSlide!$A$7),($G46+AH$3),((RiskSlide!$A$10)/260),$C46,$B46,RiskSlide!$H75)</f>
        <v>9678.5570912189196</v>
      </c>
      <c r="AI46">
        <f>PnL(($D$7*(1+AI$2)),$E46,(RiskSlide!$A$7),($G46+AI$3),((RiskSlide!$A$10)/260),$C46,$B46,RiskSlide!$H75)</f>
        <v>10147.488346729147</v>
      </c>
      <c r="AJ46">
        <f>PnL(($D$7*(1+AJ$2)),$E46,(RiskSlide!$A$7),($G46+AJ$3),((RiskSlide!$A$10)/260),$C46,$B46,RiskSlide!$H75)</f>
        <v>13612.558583811633</v>
      </c>
      <c r="AK46">
        <f>PnL(($D$7*(1+AK$2)),$E46,(RiskSlide!$A$7),($G46+AK$3),((RiskSlide!$A$10)/260),$C46,$B46,RiskSlide!$H75)</f>
        <v>16229.203343018427</v>
      </c>
      <c r="AL46">
        <f>PnL(($D$7*(1+AL$2)),$E46,(RiskSlide!$A$7),($G46+AL$3),((RiskSlide!$A$10)/260),$C46,$B46,RiskSlide!$H75)</f>
        <v>-5580.1645441511027</v>
      </c>
      <c r="AM46">
        <f>PnL(($D$7*(1+AM$2)),$E46,(RiskSlide!$A$7),($G46+AM$3),((RiskSlide!$A$10)/260),$C46,$B46,RiskSlide!$H75)</f>
        <v>-148.22733922414955</v>
      </c>
      <c r="AN46">
        <f>PnL(($D$7*(1+AN$2)),$E46,(RiskSlide!$A$7),($G46+AN$3),((RiskSlide!$A$10)/260),$C46,$B46,RiskSlide!$H75)</f>
        <v>4167.5935025584467</v>
      </c>
      <c r="AO46">
        <f>PnL(($D$7*(1+AO$2)),$E46,(RiskSlide!$A$7),($G46+AO$3),((RiskSlide!$A$10)/260),$C46,$B46,RiskSlide!$H75)</f>
        <v>4703.9779311042194</v>
      </c>
      <c r="AP46">
        <f>PnL(($D$7*(1+AP$2)),$E46,(RiskSlide!$A$7),($G46+AP$3),((RiskSlide!$A$10)/260),$C46,$B46,RiskSlide!$H75)</f>
        <v>5239.4270428821701</v>
      </c>
      <c r="AQ46">
        <f>PnL(($D$7*(1+AQ$2)),$E46,(RiskSlide!$A$7),($G46+AQ$3),((RiskSlide!$A$10)/260),$C46,$B46,RiskSlide!$H75)</f>
        <v>5773.8361093606727</v>
      </c>
      <c r="AR46">
        <f>PnL(($D$7*(1+AR$2)),$E46,(RiskSlide!$A$7),($G46+AR$3),((RiskSlide!$A$10)/260),$C46,$B46,RiskSlide!$H75)</f>
        <v>6307.0842919161405</v>
      </c>
      <c r="AS46">
        <f>PnL(($D$7*(1+AS$2)),$E46,(RiskSlide!$A$7),($G46+AS$3),((RiskSlide!$A$10)/260),$C46,$B46,RiskSlide!$H75)</f>
        <v>10507.957032220504</v>
      </c>
      <c r="AT46">
        <f>PnL(($D$7*(1+AT$2)),$E46,(RiskSlide!$A$7),($G46+AT$3),((RiskSlide!$A$10)/260),$C46,$B46,RiskSlide!$H75)</f>
        <v>15223.791512564589</v>
      </c>
      <c r="AU46">
        <f>PnL(($D$7*(1+AU$2)),$E46,(RiskSlide!$A$7),($G46+AU$3),((RiskSlide!$A$10)/260),$C46,$B46,RiskSlide!$H75)</f>
        <v>-11001.280958919608</v>
      </c>
      <c r="AV46">
        <f>PnL(($D$7*(1+AV$2)),$E46,(RiskSlide!$A$7),($G46+AV$3),((RiskSlide!$A$10)/260),$C46,$B46,RiskSlide!$H75)</f>
        <v>-5498.9582420051875</v>
      </c>
      <c r="AW46">
        <f>PnL(($D$7*(1+AW$2)),$E46,(RiskSlide!$A$7),($G46+AW$3),((RiskSlide!$A$10)/260),$C46,$B46,RiskSlide!$H75)</f>
        <v>-1099.3454340045616</v>
      </c>
      <c r="AX46">
        <f>PnL(($D$7*(1+AX$2)),$E46,(RiskSlide!$A$7),($G46+AX$3),((RiskSlide!$A$10)/260),$C46,$B46,RiskSlide!$H75)</f>
        <v>-549.63564752554817</v>
      </c>
      <c r="AY46">
        <f>PnL(($D$7*(1+AY$2)),$E46,(RiskSlide!$A$7),($G46+AY$3),((RiskSlide!$A$10)/260),$C46,$B46,RiskSlide!$H75)</f>
        <v>0</v>
      </c>
      <c r="AZ46">
        <f>PnL(($D$7*(1+AZ$2)),$E46,(RiskSlide!$A$7),($G46+AZ$3),((RiskSlide!$A$10)/260),$C46,$B46,RiskSlide!$H75)</f>
        <v>549.55286038875784</v>
      </c>
      <c r="BA46">
        <f>PnL(($D$7*(1+BA$2)),$E46,(RiskSlide!$A$7),($G46+BA$3),((RiskSlide!$A$10)/260),$C46,$B46,RiskSlide!$H75)</f>
        <v>1099.012932483987</v>
      </c>
      <c r="BB46">
        <f>PnL(($D$7*(1+BB$2)),$E46,(RiskSlide!$A$7),($G46+BB$3),((RiskSlide!$A$10)/260),$C46,$B46,RiskSlide!$H75)</f>
        <v>5489.3990624965736</v>
      </c>
      <c r="BC46">
        <f>PnL(($D$7*(1+BC$2)),$E46,(RiskSlide!$A$7),($G46+BC$3),((RiskSlide!$A$10)/260),$C46,$B46,RiskSlide!$H75)</f>
        <v>10930.007720218811</v>
      </c>
      <c r="BD46">
        <f>PnL(($D$7*(1+BD$2)),$E46,(RiskSlide!$A$7),($G46+BD$3),((RiskSlide!$A$10)/260),$C46,$B46,RiskSlide!$H75)</f>
        <v>-17175.841597667586</v>
      </c>
      <c r="BE46">
        <f>PnL(($D$7*(1+BE$2)),$E46,(RiskSlide!$A$7),($G46+BE$3),((RiskSlide!$A$10)/260),$C46,$B46,RiskSlide!$H75)</f>
        <v>-11803.039282165031</v>
      </c>
      <c r="BF46">
        <f>PnL(($D$7*(1+BF$2)),$E46,(RiskSlide!$A$7),($G46+BF$3),((RiskSlide!$A$10)/260),$C46,$B46,RiskSlide!$H75)</f>
        <v>-7575.7018213643332</v>
      </c>
      <c r="BG46">
        <f>PnL(($D$7*(1+BG$2)),$E46,(RiskSlide!$A$7),($G46+BG$3),((RiskSlide!$A$10)/260),$C46,$B46,RiskSlide!$H75)</f>
        <v>-7054.5943046643342</v>
      </c>
      <c r="BH46">
        <f>PnL(($D$7*(1+BH$2)),$E46,(RiskSlide!$A$7),($G46+BH$3),((RiskSlide!$A$10)/260),$C46,$B46,RiskSlide!$H75)</f>
        <v>-6535.6825543811683</v>
      </c>
      <c r="BI46">
        <f>PnL(($D$7*(1+BI$2)),$E46,(RiskSlide!$A$7),($G46+BI$3),((RiskSlide!$A$10)/260),$C46,$B46,RiskSlide!$H75)</f>
        <v>-6019.2057421242853</v>
      </c>
      <c r="BJ46">
        <f>PnL(($D$7*(1+BJ$2)),$E46,(RiskSlide!$A$7),($G46+BJ$3),((RiskSlide!$A$10)/260),$C46,$B46,RiskSlide!$H75)</f>
        <v>-5505.4385342951664</v>
      </c>
      <c r="BK46">
        <f>PnL(($D$7*(1+BK$2)),$E46,(RiskSlide!$A$7),($G46+BK$3),((RiskSlide!$A$10)/260),$C46,$B46,RiskSlide!$H75)</f>
        <v>-1544.6990701316565</v>
      </c>
      <c r="BL46">
        <f>PnL(($D$7*(1+BL$2)),$E46,(RiskSlide!$A$7),($G46+BL$3),((RiskSlide!$A$10)/260),$C46,$B46,RiskSlide!$H75)</f>
        <v>2310.5593398240389</v>
      </c>
      <c r="BM46">
        <f>PnL(($D$7*(1+BM$2)),$E46,(RiskSlide!$A$7),($G46+BM$3),((RiskSlide!$A$10)/260),$C46,$B46,RiskSlide!$H75)</f>
        <v>-24082.987430728481</v>
      </c>
      <c r="BN46">
        <f>PnL(($D$7*(1+BN$2)),$E46,(RiskSlide!$A$7),($G46+BN$3),((RiskSlide!$A$10)/260),$C46,$B46,RiskSlide!$H75)</f>
        <v>-19022.650828723472</v>
      </c>
      <c r="BO46">
        <f>PnL(($D$7*(1+BO$2)),$E46,(RiskSlide!$A$7),($G46+BO$3),((RiskSlide!$A$10)/260),$C46,$B46,RiskSlide!$H75)</f>
        <v>-15190.298231999152</v>
      </c>
      <c r="BP46">
        <f>PnL(($D$7*(1+BP$2)),$E46,(RiskSlide!$A$7),($G46+BP$3),((RiskSlide!$A$10)/260),$C46,$B46,RiskSlide!$H75)</f>
        <v>-14732.827302342315</v>
      </c>
      <c r="BQ46">
        <f>PnL(($D$7*(1+BQ$2)),$E46,(RiskSlide!$A$7),($G46+BQ$3),((RiskSlide!$A$10)/260),$C46,$B46,RiskSlide!$H75)</f>
        <v>-14281.681314941608</v>
      </c>
      <c r="BR46">
        <f>PnL(($D$7*(1+BR$2)),$E46,(RiskSlide!$A$7),($G46+BR$3),((RiskSlide!$A$10)/260),$C46,$B46,RiskSlide!$H75)</f>
        <v>-13837.477174062798</v>
      </c>
      <c r="BS46">
        <f>PnL(($D$7*(1+BS$2)),$E46,(RiskSlide!$A$7),($G46+BS$3),((RiskSlide!$A$10)/260),$C46,$B46,RiskSlide!$H75)</f>
        <v>-13400.909534317265</v>
      </c>
      <c r="BT46">
        <f>PnL(($D$7*(1+BT$2)),$E46,(RiskSlide!$A$7),($G46+BT$3),((RiskSlide!$A$10)/260),$C46,$B46,RiskSlide!$H75)</f>
        <v>-10303.018745739933</v>
      </c>
      <c r="BU46">
        <f>PnL(($D$7*(1+BU$2)),$E46,(RiskSlide!$A$7),($G46+BU$3),((RiskSlide!$A$10)/260),$C46,$B46,RiskSlide!$H75)</f>
        <v>-8419.612153041242</v>
      </c>
      <c r="BV46">
        <f>PnL(($D$7*(1+BV$2)),$E46,(RiskSlide!$A$7),($G46+BV$3),((RiskSlide!$A$10)/260),$C46,$B46,RiskSlide!$H75)</f>
        <v>-98716.391589262712</v>
      </c>
      <c r="BW46">
        <f>PnL(($D$7*(1+BW$2)),$E46,(RiskSlide!$A$7),($G46+BW$3),((RiskSlide!$A$10)/260),$C46,$B46,RiskSlide!$H75)</f>
        <v>-97781.399869508197</v>
      </c>
      <c r="BX46">
        <f>PnL(($D$7*(1+BX$2)),$E46,(RiskSlide!$A$7),($G46+BX$3),((RiskSlide!$A$10)/260),$C46,$B46,RiskSlide!$H75)</f>
        <v>-97525.06953152291</v>
      </c>
      <c r="BY46">
        <f>PnL(($D$7*(1+BY$2)),$E46,(RiskSlide!$A$7),($G46+BY$3),((RiskSlide!$A$10)/260),$C46,$B46,RiskSlide!$H75)</f>
        <v>-97513.437064395272</v>
      </c>
      <c r="BZ46">
        <f>PnL(($D$7*(1+BZ$2)),$E46,(RiskSlide!$A$7),($G46+BZ$3),((RiskSlide!$A$10)/260),$C46,$B46,RiskSlide!$H75)</f>
        <v>-97504.673830110711</v>
      </c>
      <c r="CA46">
        <f>PnL(($D$7*(1+CA$2)),$E46,(RiskSlide!$A$7),($G46+CA$3),((RiskSlide!$A$10)/260),$C46,$B46,RiskSlide!$H75)</f>
        <v>-97498.280720220268</v>
      </c>
      <c r="CB46">
        <f>PnL(($D$7*(1+CB$2)),$E46,(RiskSlide!$A$7),($G46+CB$3),((RiskSlide!$A$10)/260),$C46,$B46,RiskSlide!$H75)</f>
        <v>-97493.786733131317</v>
      </c>
      <c r="CC46">
        <f>PnL(($D$7*(1+CC$2)),$E46,(RiskSlide!$A$7),($G46+CC$3),((RiskSlide!$A$10)/260),$C46,$B46,RiskSlide!$H75)</f>
        <v>-97486.413301754874</v>
      </c>
      <c r="CD46">
        <f>PnL(($D$7*(1+CD$2)),$E46,(RiskSlide!$A$7),($G46+CD$3),((RiskSlide!$A$10)/260),$C46,$B46,RiskSlide!$H75)</f>
        <v>-97486.404476055817</v>
      </c>
      <c r="CE46">
        <f>PnL(($D$7*(1+CE$2)),$E46,(RiskSlide!$A$7),($G46+CE$3),((RiskSlide!$A$10)/260),$C46,$B46,RiskSlide!$H75)</f>
        <v>-208861.99260207248</v>
      </c>
      <c r="CF46">
        <f>PnL(($D$7*(1+CF$2)),$E46,(RiskSlide!$A$7),($G46+CF$3),((RiskSlide!$A$10)/260),$C46,$B46,RiskSlide!$H75)</f>
        <v>-208852.84193493263</v>
      </c>
      <c r="CG46">
        <f>PnL(($D$7*(1+CG$2)),$E46,(RiskSlide!$A$7),($G46+CG$3),((RiskSlide!$A$10)/260),$C46,$B46,RiskSlide!$H75)</f>
        <v>-208852.65492683131</v>
      </c>
      <c r="CH46">
        <f>PnL(($D$7*(1+CH$2)),$E46,(RiskSlide!$A$7),($G46+CH$3),((RiskSlide!$A$10)/260),$C46,$B46,RiskSlide!$H75)</f>
        <v>-208852.65462555437</v>
      </c>
      <c r="CI46">
        <f>PnL(($D$7*(1+CI$2)),$E46,(RiskSlide!$A$7),($G46+CI$3),((RiskSlide!$A$10)/260),$C46,$B46,RiskSlide!$H75)</f>
        <v>-208852.65452020135</v>
      </c>
      <c r="CJ46">
        <f>PnL(($D$7*(1+CJ$2)),$E46,(RiskSlide!$A$7),($G46+CJ$3),((RiskSlide!$A$10)/260),$C46,$B46,RiskSlide!$H75)</f>
        <v>-208852.65448745925</v>
      </c>
      <c r="CK46">
        <f>PnL(($D$7*(1+CK$2)),$E46,(RiskSlide!$A$7),($G46+CK$3),((RiskSlide!$A$10)/260),$C46,$B46,RiskSlide!$H75)</f>
        <v>-208852.65447857889</v>
      </c>
      <c r="CL46">
        <f>PnL(($D$7*(1+CL$2)),$E46,(RiskSlide!$A$7),($G46+CL$3),((RiskSlide!$A$10)/260),$C46,$B46,RiskSlide!$H75)</f>
        <v>-208852.6544760559</v>
      </c>
      <c r="CM46">
        <f>PnL(($D$7*(1+CM$2)),$E46,(RiskSlide!$A$7),($G46+CM$3),((RiskSlide!$A$10)/260),$C46,$B46,RiskSlide!$H75)</f>
        <v>-208852.6544760559</v>
      </c>
    </row>
    <row r="47" spans="1:91" x14ac:dyDescent="0.25">
      <c r="A47" t="s">
        <v>42</v>
      </c>
      <c r="B47">
        <v>25</v>
      </c>
      <c r="C47">
        <v>0</v>
      </c>
      <c r="E47">
        <v>1780</v>
      </c>
      <c r="F47">
        <v>3.5000000000000001E-3</v>
      </c>
      <c r="G47">
        <v>0.13681699999999999</v>
      </c>
      <c r="K47">
        <f>PnL(($D$7*(1+K$2)),$E47,(RiskSlide!$A$7),($G47+K$3),((RiskSlide!$A$10)/260),$C47,$B47,RiskSlide!$H76)</f>
        <v>206410.82541746783</v>
      </c>
      <c r="L47">
        <f>PnL(($D$7*(1+L$2)),$E47,(RiskSlide!$A$7),($G47+L$3),((RiskSlide!$A$10)/260),$C47,$B47,RiskSlide!$H76)</f>
        <v>206407.88405663215</v>
      </c>
      <c r="M47">
        <f>PnL(($D$7*(1+M$2)),$E47,(RiskSlide!$A$7),($G47+M$3),((RiskSlide!$A$10)/260),$C47,$B47,RiskSlide!$H76)</f>
        <v>206407.85004208397</v>
      </c>
      <c r="N47">
        <f>PnL(($D$7*(1+N$2)),$E47,(RiskSlide!$A$7),($G47+N$3),((RiskSlide!$A$10)/260),$C47,$B47,RiskSlide!$H76)</f>
        <v>206407.8500184482</v>
      </c>
      <c r="O47">
        <f>PnL(($D$7*(1+O$2)),$E47,(RiskSlide!$A$7),($G47+O$3),((RiskSlide!$A$10)/260),$C47,$B47,RiskSlide!$H76)</f>
        <v>206407.85001151953</v>
      </c>
      <c r="P47">
        <f>PnL(($D$7*(1+P$2)),$E47,(RiskSlide!$A$7),($G47+P$3),((RiskSlide!$A$10)/260),$C47,$B47,RiskSlide!$H76)</f>
        <v>206407.85000974944</v>
      </c>
      <c r="Q47">
        <f>PnL(($D$7*(1+Q$2)),$E47,(RiskSlide!$A$7),($G47+Q$3),((RiskSlide!$A$10)/260),$C47,$B47,RiskSlide!$H76)</f>
        <v>206407.85000936346</v>
      </c>
      <c r="R47">
        <f>PnL(($D$7*(1+R$2)),$E47,(RiskSlide!$A$7),($G47+R$3),((RiskSlide!$A$10)/260),$C47,$B47,RiskSlide!$H76)</f>
        <v>206407.85000928162</v>
      </c>
      <c r="S47">
        <f>PnL(($D$7*(1+S$2)),$E47,(RiskSlide!$A$7),($G47+S$3),((RiskSlide!$A$10)/260),$C47,$B47,RiskSlide!$H76)</f>
        <v>206407.85000928162</v>
      </c>
      <c r="T47">
        <f>PnL(($D$7*(1+T$2)),$E47,(RiskSlide!$A$7),($G47+T$3),((RiskSlide!$A$10)/260),$C47,$B47,RiskSlide!$H76)</f>
        <v>96182.128719973436</v>
      </c>
      <c r="U47">
        <f>PnL(($D$7*(1+U$2)),$E47,(RiskSlide!$A$7),($G47+U$3),((RiskSlide!$A$10)/260),$C47,$B47,RiskSlide!$H76)</f>
        <v>95311.949317158447</v>
      </c>
      <c r="V47">
        <f>PnL(($D$7*(1+V$2)),$E47,(RiskSlide!$A$7),($G47+V$3),((RiskSlide!$A$10)/260),$C47,$B47,RiskSlide!$H76)</f>
        <v>95076.382864278057</v>
      </c>
      <c r="W47">
        <f>PnL(($D$7*(1+W$2)),$E47,(RiskSlide!$A$7),($G47+W$3),((RiskSlide!$A$10)/260),$C47,$B47,RiskSlide!$H76)</f>
        <v>95065.834940009488</v>
      </c>
      <c r="X47">
        <f>PnL(($D$7*(1+X$2)),$E47,(RiskSlide!$A$7),($G47+X$3),((RiskSlide!$A$10)/260),$C47,$B47,RiskSlide!$H76)</f>
        <v>95057.916372588239</v>
      </c>
      <c r="Y47">
        <f>PnL(($D$7*(1+Y$2)),$E47,(RiskSlide!$A$7),($G47+Y$3),((RiskSlide!$A$10)/260),$C47,$B47,RiskSlide!$H76)</f>
        <v>95052.16183369924</v>
      </c>
      <c r="Z47">
        <f>PnL(($D$7*(1+Z$2)),$E47,(RiskSlide!$A$7),($G47+Z$3),((RiskSlide!$A$10)/260),$C47,$B47,RiskSlide!$H76)</f>
        <v>95048.134209651776</v>
      </c>
      <c r="AA47">
        <f>PnL(($D$7*(1+AA$2)),$E47,(RiskSlide!$A$7),($G47+AA$3),((RiskSlide!$A$10)/260),$C47,$B47,RiskSlide!$H76)</f>
        <v>95041.607283621663</v>
      </c>
      <c r="AB47">
        <f>PnL(($D$7*(1+AB$2)),$E47,(RiskSlide!$A$7),($G47+AB$3),((RiskSlide!$A$10)/260),$C47,$B47,RiskSlide!$H76)</f>
        <v>95041.600009281814</v>
      </c>
      <c r="AC47">
        <f>PnL(($D$7*(1+AC$2)),$E47,(RiskSlide!$A$7),($G47+AC$3),((RiskSlide!$A$10)/260),$C47,$B47,RiskSlide!$H76)</f>
        <v>23185.219566784952</v>
      </c>
      <c r="AD47">
        <f>PnL(($D$7*(1+AD$2)),$E47,(RiskSlide!$A$7),($G47+AD$3),((RiskSlide!$A$10)/260),$C47,$B47,RiskSlide!$H76)</f>
        <v>18018.735083240073</v>
      </c>
      <c r="AE47">
        <f>PnL(($D$7*(1+AE$2)),$E47,(RiskSlide!$A$7),($G47+AE$3),((RiskSlide!$A$10)/260),$C47,$B47,RiskSlide!$H76)</f>
        <v>14031.698493157308</v>
      </c>
      <c r="AF47">
        <f>PnL(($D$7*(1+AF$2)),$E47,(RiskSlide!$A$7),($G47+AF$3),((RiskSlide!$A$10)/260),$C47,$B47,RiskSlide!$H76)</f>
        <v>13548.146116837073</v>
      </c>
      <c r="AG47">
        <f>PnL(($D$7*(1+AG$2)),$E47,(RiskSlide!$A$7),($G47+AG$3),((RiskSlide!$A$10)/260),$C47,$B47,RiskSlide!$H76)</f>
        <v>13068.993039387635</v>
      </c>
      <c r="AH47">
        <f>PnL(($D$7*(1+AH$2)),$E47,(RiskSlide!$A$7),($G47+AH$3),((RiskSlide!$A$10)/260),$C47,$B47,RiskSlide!$H76)</f>
        <v>12594.692908780871</v>
      </c>
      <c r="AI47">
        <f>PnL(($D$7*(1+AI$2)),$E47,(RiskSlide!$A$7),($G47+AI$3),((RiskSlide!$A$10)/260),$C47,$B47,RiskSlide!$H76)</f>
        <v>12125.761653270501</v>
      </c>
      <c r="AJ47">
        <f>PnL(($D$7*(1+AJ$2)),$E47,(RiskSlide!$A$7),($G47+AJ$3),((RiskSlide!$A$10)/260),$C47,$B47,RiskSlide!$H76)</f>
        <v>8660.6914161885124</v>
      </c>
      <c r="AK47">
        <f>PnL(($D$7*(1+AK$2)),$E47,(RiskSlide!$A$7),($G47+AK$3),((RiskSlide!$A$10)/260),$C47,$B47,RiskSlide!$H76)</f>
        <v>6044.0466569815499</v>
      </c>
      <c r="AL47">
        <f>PnL(($D$7*(1+AL$2)),$E47,(RiskSlide!$A$7),($G47+AL$3),((RiskSlide!$A$10)/260),$C47,$B47,RiskSlide!$H76)</f>
        <v>16716.789544151281</v>
      </c>
      <c r="AM47">
        <f>PnL(($D$7*(1+AM$2)),$E47,(RiskSlide!$A$7),($G47+AM$3),((RiskSlide!$A$10)/260),$C47,$B47,RiskSlide!$H76)</f>
        <v>11284.852339224188</v>
      </c>
      <c r="AN47">
        <f>PnL(($D$7*(1+AN$2)),$E47,(RiskSlide!$A$7),($G47+AN$3),((RiskSlide!$A$10)/260),$C47,$B47,RiskSlide!$H76)</f>
        <v>6969.0314974417333</v>
      </c>
      <c r="AO47">
        <f>PnL(($D$7*(1+AO$2)),$E47,(RiskSlide!$A$7),($G47+AO$3),((RiskSlide!$A$10)/260),$C47,$B47,RiskSlide!$H76)</f>
        <v>6432.6470688956761</v>
      </c>
      <c r="AP47">
        <f>PnL(($D$7*(1+AP$2)),$E47,(RiskSlide!$A$7),($G47+AP$3),((RiskSlide!$A$10)/260),$C47,$B47,RiskSlide!$H76)</f>
        <v>5897.1979571177253</v>
      </c>
      <c r="AQ47">
        <f>PnL(($D$7*(1+AQ$2)),$E47,(RiskSlide!$A$7),($G47+AQ$3),((RiskSlide!$A$10)/260),$C47,$B47,RiskSlide!$H76)</f>
        <v>5362.7888906390808</v>
      </c>
      <c r="AR47">
        <f>PnL(($D$7*(1+AR$2)),$E47,(RiskSlide!$A$7),($G47+AR$3),((RiskSlide!$A$10)/260),$C47,$B47,RiskSlide!$H76)</f>
        <v>4829.5407080840396</v>
      </c>
      <c r="AS47">
        <f>PnL(($D$7*(1+AS$2)),$E47,(RiskSlide!$A$7),($G47+AS$3),((RiskSlide!$A$10)/260),$C47,$B47,RiskSlide!$H76)</f>
        <v>628.66796777967693</v>
      </c>
      <c r="AT47">
        <f>PnL(($D$7*(1+AT$2)),$E47,(RiskSlide!$A$7),($G47+AT$3),((RiskSlide!$A$10)/260),$C47,$B47,RiskSlide!$H76)</f>
        <v>-4087.1665125644085</v>
      </c>
      <c r="AU47">
        <f>PnL(($D$7*(1+AU$2)),$E47,(RiskSlide!$A$7),($G47+AU$3),((RiskSlide!$A$10)/260),$C47,$B47,RiskSlide!$H76)</f>
        <v>11001.280958919608</v>
      </c>
      <c r="AV47">
        <f>PnL(($D$7*(1+AV$2)),$E47,(RiskSlide!$A$7),($G47+AV$3),((RiskSlide!$A$10)/260),$C47,$B47,RiskSlide!$H76)</f>
        <v>5498.9582420051875</v>
      </c>
      <c r="AW47">
        <f>PnL(($D$7*(1+AW$2)),$E47,(RiskSlide!$A$7),($G47+AW$3),((RiskSlide!$A$10)/260),$C47,$B47,RiskSlide!$H76)</f>
        <v>1099.3454340042774</v>
      </c>
      <c r="AX47">
        <f>PnL(($D$7*(1+AX$2)),$E47,(RiskSlide!$A$7),($G47+AX$3),((RiskSlide!$A$10)/260),$C47,$B47,RiskSlide!$H76)</f>
        <v>549.63564752554817</v>
      </c>
      <c r="AY47">
        <f>PnL(($D$7*(1+AY$2)),$E47,(RiskSlide!$A$7),($G47+AY$3),((RiskSlide!$A$10)/260),$C47,$B47,RiskSlide!$H76)</f>
        <v>0</v>
      </c>
      <c r="AZ47">
        <f>PnL(($D$7*(1+AZ$2)),$E47,(RiskSlide!$A$7),($G47+AZ$3),((RiskSlide!$A$10)/260),$C47,$B47,RiskSlide!$H76)</f>
        <v>-549.55286038875784</v>
      </c>
      <c r="BA47">
        <f>PnL(($D$7*(1+BA$2)),$E47,(RiskSlide!$A$7),($G47+BA$3),((RiskSlide!$A$10)/260),$C47,$B47,RiskSlide!$H76)</f>
        <v>-1099.0129324838449</v>
      </c>
      <c r="BB47">
        <f>PnL(($D$7*(1+BB$2)),$E47,(RiskSlide!$A$7),($G47+BB$3),((RiskSlide!$A$10)/260),$C47,$B47,RiskSlide!$H76)</f>
        <v>-5489.3990624965736</v>
      </c>
      <c r="BC47">
        <f>PnL(($D$7*(1+BC$2)),$E47,(RiskSlide!$A$7),($G47+BC$3),((RiskSlide!$A$10)/260),$C47,$B47,RiskSlide!$H76)</f>
        <v>-10930.007720218811</v>
      </c>
      <c r="BD47">
        <f>PnL(($D$7*(1+BD$2)),$E47,(RiskSlide!$A$7),($G47+BD$3),((RiskSlide!$A$10)/260),$C47,$B47,RiskSlide!$H76)</f>
        <v>6039.2165976678316</v>
      </c>
      <c r="BE47">
        <f>PnL(($D$7*(1+BE$2)),$E47,(RiskSlide!$A$7),($G47+BE$3),((RiskSlide!$A$10)/260),$C47,$B47,RiskSlide!$H76)</f>
        <v>666.41428216513532</v>
      </c>
      <c r="BF47">
        <f>PnL(($D$7*(1+BF$2)),$E47,(RiskSlide!$A$7),($G47+BF$3),((RiskSlide!$A$10)/260),$C47,$B47,RiskSlide!$H76)</f>
        <v>-3560.9231786357041</v>
      </c>
      <c r="BG47">
        <f>PnL(($D$7*(1+BG$2)),$E47,(RiskSlide!$A$7),($G47+BG$3),((RiskSlide!$A$10)/260),$C47,$B47,RiskSlide!$H76)</f>
        <v>-4082.0306953351346</v>
      </c>
      <c r="BH47">
        <f>PnL(($D$7*(1+BH$2)),$E47,(RiskSlide!$A$7),($G47+BH$3),((RiskSlide!$A$10)/260),$C47,$B47,RiskSlide!$H76)</f>
        <v>-4600.9424456188699</v>
      </c>
      <c r="BI47">
        <f>PnL(($D$7*(1+BI$2)),$E47,(RiskSlide!$A$7),($G47+BI$3),((RiskSlide!$A$10)/260),$C47,$B47,RiskSlide!$H76)</f>
        <v>-5117.4192578753264</v>
      </c>
      <c r="BJ47">
        <f>PnL(($D$7*(1+BJ$2)),$E47,(RiskSlide!$A$7),($G47+BJ$3),((RiskSlide!$A$10)/260),$C47,$B47,RiskSlide!$H76)</f>
        <v>-5631.1864657043034</v>
      </c>
      <c r="BK47">
        <f>PnL(($D$7*(1+BK$2)),$E47,(RiskSlide!$A$7),($G47+BK$3),((RiskSlide!$A$10)/260),$C47,$B47,RiskSlide!$H76)</f>
        <v>-9591.9259298678844</v>
      </c>
      <c r="BL47">
        <f>PnL(($D$7*(1+BL$2)),$E47,(RiskSlide!$A$7),($G47+BL$3),((RiskSlide!$A$10)/260),$C47,$B47,RiskSlide!$H76)</f>
        <v>-13447.184339823863</v>
      </c>
      <c r="BM47">
        <f>PnL(($D$7*(1+BM$2)),$E47,(RiskSlide!$A$7),($G47+BM$3),((RiskSlide!$A$10)/260),$C47,$B47,RiskSlide!$H76)</f>
        <v>1809.7374307285463</v>
      </c>
      <c r="BN47">
        <f>PnL(($D$7*(1+BN$2)),$E47,(RiskSlide!$A$7),($G47+BN$3),((RiskSlide!$A$10)/260),$C47,$B47,RiskSlide!$H76)</f>
        <v>-3250.5991712766045</v>
      </c>
      <c r="BO47">
        <f>PnL(($D$7*(1+BO$2)),$E47,(RiskSlide!$A$7),($G47+BO$3),((RiskSlide!$A$10)/260),$C47,$B47,RiskSlide!$H76)</f>
        <v>-7082.9517680008539</v>
      </c>
      <c r="BP47">
        <f>PnL(($D$7*(1+BP$2)),$E47,(RiskSlide!$A$7),($G47+BP$3),((RiskSlide!$A$10)/260),$C47,$B47,RiskSlide!$H76)</f>
        <v>-7540.4226976580449</v>
      </c>
      <c r="BQ47">
        <f>PnL(($D$7*(1+BQ$2)),$E47,(RiskSlide!$A$7),($G47+BQ$3),((RiskSlide!$A$10)/260),$C47,$B47,RiskSlide!$H76)</f>
        <v>-7991.568685058397</v>
      </c>
      <c r="BR47">
        <f>PnL(($D$7*(1+BR$2)),$E47,(RiskSlide!$A$7),($G47+BR$3),((RiskSlide!$A$10)/260),$C47,$B47,RiskSlide!$H76)</f>
        <v>-8435.7728259374198</v>
      </c>
      <c r="BS47">
        <f>PnL(($D$7*(1+BS$2)),$E47,(RiskSlide!$A$7),($G47+BS$3),((RiskSlide!$A$10)/260),$C47,$B47,RiskSlide!$H76)</f>
        <v>-8872.3404656827406</v>
      </c>
      <c r="BT47">
        <f>PnL(($D$7*(1+BT$2)),$E47,(RiskSlide!$A$7),($G47+BT$3),((RiskSlide!$A$10)/260),$C47,$B47,RiskSlide!$H76)</f>
        <v>-11970.231254260212</v>
      </c>
      <c r="BU47">
        <f>PnL(($D$7*(1+BU$2)),$E47,(RiskSlide!$A$7),($G47+BU$3),((RiskSlide!$A$10)/260),$C47,$B47,RiskSlide!$H76)</f>
        <v>-13853.637846959171</v>
      </c>
      <c r="BV47">
        <f>PnL(($D$7*(1+BV$2)),$E47,(RiskSlide!$A$7),($G47+BV$3),((RiskSlide!$A$10)/260),$C47,$B47,RiskSlide!$H76)</f>
        <v>-12649.858410737505</v>
      </c>
      <c r="BW47">
        <f>PnL(($D$7*(1+BW$2)),$E47,(RiskSlide!$A$7),($G47+BW$3),((RiskSlide!$A$10)/260),$C47,$B47,RiskSlide!$H76)</f>
        <v>-13584.85013049179</v>
      </c>
      <c r="BX47">
        <f>PnL(($D$7*(1+BX$2)),$E47,(RiskSlide!$A$7),($G47+BX$3),((RiskSlide!$A$10)/260),$C47,$B47,RiskSlide!$H76)</f>
        <v>-13841.180468477385</v>
      </c>
      <c r="BY47">
        <f>PnL(($D$7*(1+BY$2)),$E47,(RiskSlide!$A$7),($G47+BY$3),((RiskSlide!$A$10)/260),$C47,$B47,RiskSlide!$H76)</f>
        <v>-13852.812935604617</v>
      </c>
      <c r="BZ47">
        <f>PnL(($D$7*(1+BZ$2)),$E47,(RiskSlide!$A$7),($G47+BZ$3),((RiskSlide!$A$10)/260),$C47,$B47,RiskSlide!$H76)</f>
        <v>-13861.576169889337</v>
      </c>
      <c r="CA47">
        <f>PnL(($D$7*(1+CA$2)),$E47,(RiskSlide!$A$7),($G47+CA$3),((RiskSlide!$A$10)/260),$C47,$B47,RiskSlide!$H76)</f>
        <v>-13867.969279780033</v>
      </c>
      <c r="CB47">
        <f>PnL(($D$7*(1+CB$2)),$E47,(RiskSlide!$A$7),($G47+CB$3),((RiskSlide!$A$10)/260),$C47,$B47,RiskSlide!$H76)</f>
        <v>-13872.463266868501</v>
      </c>
      <c r="CC47">
        <f>PnL(($D$7*(1+CC$2)),$E47,(RiskSlide!$A$7),($G47+CC$3),((RiskSlide!$A$10)/260),$C47,$B47,RiskSlide!$H76)</f>
        <v>-13879.836698244972</v>
      </c>
      <c r="CD47">
        <f>PnL(($D$7*(1+CD$2)),$E47,(RiskSlide!$A$7),($G47+CD$3),((RiskSlide!$A$10)/260),$C47,$B47,RiskSlide!$H76)</f>
        <v>-13879.845523944425</v>
      </c>
      <c r="CE47">
        <f>PnL(($D$7*(1+CE$2)),$E47,(RiskSlide!$A$7),($G47+CE$3),((RiskSlide!$A$10)/260),$C47,$B47,RiskSlide!$H76)</f>
        <v>-13870.50739792762</v>
      </c>
      <c r="CF47">
        <f>PnL(($D$7*(1+CF$2)),$E47,(RiskSlide!$A$7),($G47+CF$3),((RiskSlide!$A$10)/260),$C47,$B47,RiskSlide!$H76)</f>
        <v>-13879.658065067419</v>
      </c>
      <c r="CG47">
        <f>PnL(($D$7*(1+CG$2)),$E47,(RiskSlide!$A$7),($G47+CG$3),((RiskSlide!$A$10)/260),$C47,$B47,RiskSlide!$H76)</f>
        <v>-13879.845073168683</v>
      </c>
      <c r="CH47">
        <f>PnL(($D$7*(1+CH$2)),$E47,(RiskSlide!$A$7),($G47+CH$3),((RiskSlide!$A$10)/260),$C47,$B47,RiskSlide!$H76)</f>
        <v>-13879.845374445513</v>
      </c>
      <c r="CI47">
        <f>PnL(($D$7*(1+CI$2)),$E47,(RiskSlide!$A$7),($G47+CI$3),((RiskSlide!$A$10)/260),$C47,$B47,RiskSlide!$H76)</f>
        <v>-13879.845479798987</v>
      </c>
      <c r="CJ47">
        <f>PnL(($D$7*(1+CJ$2)),$E47,(RiskSlide!$A$7),($G47+CJ$3),((RiskSlide!$A$10)/260),$C47,$B47,RiskSlide!$H76)</f>
        <v>-13879.845512540727</v>
      </c>
      <c r="CK47">
        <f>PnL(($D$7*(1+CK$2)),$E47,(RiskSlide!$A$7),($G47+CK$3),((RiskSlide!$A$10)/260),$C47,$B47,RiskSlide!$H76)</f>
        <v>-13879.845521421343</v>
      </c>
      <c r="CL47">
        <f>PnL(($D$7*(1+CL$2)),$E47,(RiskSlide!$A$7),($G47+CL$3),((RiskSlide!$A$10)/260),$C47,$B47,RiskSlide!$H76)</f>
        <v>-13879.845523944425</v>
      </c>
      <c r="CM47">
        <f>PnL(($D$7*(1+CM$2)),$E47,(RiskSlide!$A$7),($G47+CM$3),((RiskSlide!$A$10)/260),$C47,$B47,RiskSlide!$H76)</f>
        <v>-13879.845523944425</v>
      </c>
    </row>
    <row r="48" spans="1:91" x14ac:dyDescent="0.25">
      <c r="A48" t="s">
        <v>43</v>
      </c>
      <c r="B48">
        <v>-15</v>
      </c>
      <c r="C48">
        <v>1</v>
      </c>
      <c r="E48">
        <v>1785</v>
      </c>
      <c r="F48">
        <v>3.5000000000000001E-3</v>
      </c>
      <c r="G48">
        <v>0.13373599999999999</v>
      </c>
      <c r="K48">
        <f>PnL(($D$7*(1+K$2)),$E48,(RiskSlide!$A$7),($G48+K$3),((RiskSlide!$A$10)/260),$C48,$B48,RiskSlide!$H77)</f>
        <v>7755.5781081682871</v>
      </c>
      <c r="L48">
        <f>PnL(($D$7*(1+L$2)),$E48,(RiskSlide!$A$7),($G48+L$3),((RiskSlide!$A$10)/260),$C48,$B48,RiskSlide!$H77)</f>
        <v>7756.551951206693</v>
      </c>
      <c r="M48">
        <f>PnL(($D$7*(1+M$2)),$E48,(RiskSlide!$A$7),($G48+M$3),((RiskSlide!$A$10)/260),$C48,$B48,RiskSlide!$H77)</f>
        <v>7756.5594241449207</v>
      </c>
      <c r="N48">
        <f>PnL(($D$7*(1+N$2)),$E48,(RiskSlide!$A$7),($G48+N$3),((RiskSlide!$A$10)/260),$C48,$B48,RiskSlide!$H77)</f>
        <v>7756.5594267395099</v>
      </c>
      <c r="O48">
        <f>PnL(($D$7*(1+O$2)),$E48,(RiskSlide!$A$7),($G48+O$3),((RiskSlide!$A$10)/260),$C48,$B48,RiskSlide!$H77)</f>
        <v>7756.5594273922115</v>
      </c>
      <c r="P48">
        <f>PnL(($D$7*(1+P$2)),$E48,(RiskSlide!$A$7),($G48+P$3),((RiskSlide!$A$10)/260),$C48,$B48,RiskSlide!$H77)</f>
        <v>7756.5594275324102</v>
      </c>
      <c r="Q48">
        <f>PnL(($D$7*(1+Q$2)),$E48,(RiskSlide!$A$7),($G48+Q$3),((RiskSlide!$A$10)/260),$C48,$B48,RiskSlide!$H77)</f>
        <v>7756.559427557494</v>
      </c>
      <c r="R48">
        <f>PnL(($D$7*(1+R$2)),$E48,(RiskSlide!$A$7),($G48+R$3),((RiskSlide!$A$10)/260),$C48,$B48,RiskSlide!$H77)</f>
        <v>7756.5594275615695</v>
      </c>
      <c r="S48">
        <f>PnL(($D$7*(1+S$2)),$E48,(RiskSlide!$A$7),($G48+S$3),((RiskSlide!$A$10)/260),$C48,$B48,RiskSlide!$H77)</f>
        <v>7756.5594275615695</v>
      </c>
      <c r="T48">
        <f>PnL(($D$7*(1+T$2)),$E48,(RiskSlide!$A$7),($G48+T$3),((RiskSlide!$A$10)/260),$C48,$B48,RiskSlide!$H77)</f>
        <v>7254.0951166367031</v>
      </c>
      <c r="U48">
        <f>PnL(($D$7*(1+U$2)),$E48,(RiskSlide!$A$7),($G48+U$3),((RiskSlide!$A$10)/260),$C48,$B48,RiskSlide!$H77)</f>
        <v>7655.6711992358469</v>
      </c>
      <c r="V48">
        <f>PnL(($D$7*(1+V$2)),$E48,(RiskSlide!$A$7),($G48+V$3),((RiskSlide!$A$10)/260),$C48,$B48,RiskSlide!$H77)</f>
        <v>7746.7856313895954</v>
      </c>
      <c r="W48">
        <f>PnL(($D$7*(1+W$2)),$E48,(RiskSlide!$A$7),($G48+W$3),((RiskSlide!$A$10)/260),$C48,$B48,RiskSlide!$H77)</f>
        <v>7750.1140910337836</v>
      </c>
      <c r="X48">
        <f>PnL(($D$7*(1+X$2)),$E48,(RiskSlide!$A$7),($G48+X$3),((RiskSlide!$A$10)/260),$C48,$B48,RiskSlide!$H77)</f>
        <v>7752.4801946827665</v>
      </c>
      <c r="Y48">
        <f>PnL(($D$7*(1+Y$2)),$E48,(RiskSlide!$A$7),($G48+Y$3),((RiskSlide!$A$10)/260),$C48,$B48,RiskSlide!$H77)</f>
        <v>7754.0969172100386</v>
      </c>
      <c r="Z48">
        <f>PnL(($D$7*(1+Z$2)),$E48,(RiskSlide!$A$7),($G48+Z$3),((RiskSlide!$A$10)/260),$C48,$B48,RiskSlide!$H77)</f>
        <v>7755.1520206773475</v>
      </c>
      <c r="AA48">
        <f>PnL(($D$7*(1+AA$2)),$E48,(RiskSlide!$A$7),($G48+AA$3),((RiskSlide!$A$10)/260),$C48,$B48,RiskSlide!$H77)</f>
        <v>7756.5590128282247</v>
      </c>
      <c r="AB48">
        <f>PnL(($D$7*(1+AB$2)),$E48,(RiskSlide!$A$7),($G48+AB$3),((RiskSlide!$A$10)/260),$C48,$B48,RiskSlide!$H77)</f>
        <v>7756.5594275615695</v>
      </c>
      <c r="AC48">
        <f>PnL(($D$7*(1+AC$2)),$E48,(RiskSlide!$A$7),($G48+AC$3),((RiskSlide!$A$10)/260),$C48,$B48,RiskSlide!$H77)</f>
        <v>-1060.5102071503154</v>
      </c>
      <c r="AD48">
        <f>PnL(($D$7*(1+AD$2)),$E48,(RiskSlide!$A$7),($G48+AD$3),((RiskSlide!$A$10)/260),$C48,$B48,RiskSlide!$H77)</f>
        <v>1905.174469108232</v>
      </c>
      <c r="AE48">
        <f>PnL(($D$7*(1+AE$2)),$E48,(RiskSlide!$A$7),($G48+AE$3),((RiskSlide!$A$10)/260),$C48,$B48,RiskSlide!$H77)</f>
        <v>4127.7837734918703</v>
      </c>
      <c r="AF48">
        <f>PnL(($D$7*(1+AF$2)),$E48,(RiskSlide!$A$7),($G48+AF$3),((RiskSlide!$A$10)/260),$C48,$B48,RiskSlide!$H77)</f>
        <v>4390.6255465743843</v>
      </c>
      <c r="AG48">
        <f>PnL(($D$7*(1+AG$2)),$E48,(RiskSlide!$A$7),($G48+AG$3),((RiskSlide!$A$10)/260),$C48,$B48,RiskSlide!$H77)</f>
        <v>4649.0780552410342</v>
      </c>
      <c r="AH48">
        <f>PnL(($D$7*(1+AH$2)),$E48,(RiskSlide!$A$7),($G48+AH$3),((RiskSlide!$A$10)/260),$C48,$B48,RiskSlide!$H77)</f>
        <v>4902.7164342327296</v>
      </c>
      <c r="AI48">
        <f>PnL(($D$7*(1+AI$2)),$E48,(RiskSlide!$A$7),($G48+AI$3),((RiskSlide!$A$10)/260),$C48,$B48,RiskSlide!$H77)</f>
        <v>5151.0636931007948</v>
      </c>
      <c r="AJ48">
        <f>PnL(($D$7*(1+AJ$2)),$E48,(RiskSlide!$A$7),($G48+AJ$3),((RiskSlide!$A$10)/260),$C48,$B48,RiskSlide!$H77)</f>
        <v>6866.573836500891</v>
      </c>
      <c r="AK48">
        <f>PnL(($D$7*(1+AK$2)),$E48,(RiskSlide!$A$7),($G48+AK$3),((RiskSlide!$A$10)/260),$C48,$B48,RiskSlide!$H77)</f>
        <v>7752.4575168561232</v>
      </c>
      <c r="AL48">
        <f>PnL(($D$7*(1+AL$2)),$E48,(RiskSlide!$A$7),($G48+AL$3),((RiskSlide!$A$10)/260),$C48,$B48,RiskSlide!$H77)</f>
        <v>-3604.1822973065223</v>
      </c>
      <c r="AM48">
        <f>PnL(($D$7*(1+AM$2)),$E48,(RiskSlide!$A$7),($G48+AM$3),((RiskSlide!$A$10)/260),$C48,$B48,RiskSlide!$H77)</f>
        <v>-414.33554900035574</v>
      </c>
      <c r="AN48">
        <f>PnL(($D$7*(1+AN$2)),$E48,(RiskSlide!$A$7),($G48+AN$3),((RiskSlide!$A$10)/260),$C48,$B48,RiskSlide!$H77)</f>
        <v>2083.6569033277215</v>
      </c>
      <c r="AO48">
        <f>PnL(($D$7*(1+AO$2)),$E48,(RiskSlide!$A$7),($G48+AO$3),((RiskSlide!$A$10)/260),$C48,$B48,RiskSlide!$H77)</f>
        <v>2390.3239700376562</v>
      </c>
      <c r="AP48">
        <f>PnL(($D$7*(1+AP$2)),$E48,(RiskSlide!$A$7),($G48+AP$3),((RiskSlide!$A$10)/260),$C48,$B48,RiskSlide!$H77)</f>
        <v>2695.3092305317623</v>
      </c>
      <c r="AQ48">
        <f>PnL(($D$7*(1+AQ$2)),$E48,(RiskSlide!$A$7),($G48+AQ$3),((RiskSlide!$A$10)/260),$C48,$B48,RiskSlide!$H77)</f>
        <v>2998.4275117452344</v>
      </c>
      <c r="AR48">
        <f>PnL(($D$7*(1+AR$2)),$E48,(RiskSlide!$A$7),($G48+AR$3),((RiskSlide!$A$10)/260),$C48,$B48,RiskSlide!$H77)</f>
        <v>3299.4659720212385</v>
      </c>
      <c r="AS48">
        <f>PnL(($D$7*(1+AS$2)),$E48,(RiskSlide!$A$7),($G48+AS$3),((RiskSlide!$A$10)/260),$C48,$B48,RiskSlide!$H77)</f>
        <v>5592.6502063679063</v>
      </c>
      <c r="AT48">
        <f>PnL(($D$7*(1+AT$2)),$E48,(RiskSlide!$A$7),($G48+AT$3),((RiskSlide!$A$10)/260),$C48,$B48,RiskSlide!$H77)</f>
        <v>7628.5665120492577</v>
      </c>
      <c r="AU48">
        <f>PnL(($D$7*(1+AU$2)),$E48,(RiskSlide!$A$7),($G48+AU$3),((RiskSlide!$A$10)/260),$C48,$B48,RiskSlide!$H77)</f>
        <v>-6598.0371662464277</v>
      </c>
      <c r="AV48">
        <f>PnL(($D$7*(1+AV$2)),$E48,(RiskSlide!$A$7),($G48+AV$3),((RiskSlide!$A$10)/260),$C48,$B48,RiskSlide!$H77)</f>
        <v>-3296.3580167075861</v>
      </c>
      <c r="AW48">
        <f>PnL(($D$7*(1+AW$2)),$E48,(RiskSlide!$A$7),($G48+AW$3),((RiskSlide!$A$10)/260),$C48,$B48,RiskSlide!$H77)</f>
        <v>-658.57270566351644</v>
      </c>
      <c r="AX48">
        <f>PnL(($D$7*(1+AX$2)),$E48,(RiskSlide!$A$7),($G48+AX$3),((RiskSlide!$A$10)/260),$C48,$B48,RiskSlide!$H77)</f>
        <v>-329.22834119389677</v>
      </c>
      <c r="AY48">
        <f>PnL(($D$7*(1+AY$2)),$E48,(RiskSlide!$A$7),($G48+AY$3),((RiskSlide!$A$10)/260),$C48,$B48,RiskSlide!$H77)</f>
        <v>0</v>
      </c>
      <c r="AZ48">
        <f>PnL(($D$7*(1+AZ$2)),$E48,(RiskSlide!$A$7),($G48+AZ$3),((RiskSlide!$A$10)/260),$C48,$B48,RiskSlide!$H77)</f>
        <v>329.09871358310738</v>
      </c>
      <c r="BA48">
        <f>PnL(($D$7*(1+BA$2)),$E48,(RiskSlide!$A$7),($G48+BA$3),((RiskSlide!$A$10)/260),$C48,$B48,RiskSlide!$H77)</f>
        <v>658.05201193350626</v>
      </c>
      <c r="BB48">
        <f>PnL(($D$7*(1+BB$2)),$E48,(RiskSlide!$A$7),($G48+BB$3),((RiskSlide!$A$10)/260),$C48,$B48,RiskSlide!$H77)</f>
        <v>3281.317011540551</v>
      </c>
      <c r="BC48">
        <f>PnL(($D$7*(1+BC$2)),$E48,(RiskSlide!$A$7),($G48+BC$3),((RiskSlide!$A$10)/260),$C48,$B48,RiskSlide!$H77)</f>
        <v>6481.992911867138</v>
      </c>
      <c r="BD48">
        <f>PnL(($D$7*(1+BD$2)),$E48,(RiskSlide!$A$7),($G48+BD$3),((RiskSlide!$A$10)/260),$C48,$B48,RiskSlide!$H77)</f>
        <v>-10050.048173672565</v>
      </c>
      <c r="BE48">
        <f>PnL(($D$7*(1+BE$2)),$E48,(RiskSlide!$A$7),($G48+BE$3),((RiskSlide!$A$10)/260),$C48,$B48,RiskSlide!$H77)</f>
        <v>-6759.7280379432332</v>
      </c>
      <c r="BF48">
        <f>PnL(($D$7*(1+BF$2)),$E48,(RiskSlide!$A$7),($G48+BF$3),((RiskSlide!$A$10)/260),$C48,$B48,RiskSlide!$H77)</f>
        <v>-4140.7749028863345</v>
      </c>
      <c r="BG48">
        <f>PnL(($D$7*(1+BG$2)),$E48,(RiskSlide!$A$7),($G48+BG$3),((RiskSlide!$A$10)/260),$C48,$B48,RiskSlide!$H77)</f>
        <v>-3814.8053709755345</v>
      </c>
      <c r="BH48">
        <f>PnL(($D$7*(1+BH$2)),$E48,(RiskSlide!$A$7),($G48+BH$3),((RiskSlide!$A$10)/260),$C48,$B48,RiskSlide!$H77)</f>
        <v>-3489.2622476901352</v>
      </c>
      <c r="BI48">
        <f>PnL(($D$7*(1+BI$2)),$E48,(RiskSlide!$A$7),($G48+BI$3),((RiskSlide!$A$10)/260),$C48,$B48,RiskSlide!$H77)</f>
        <v>-3164.1946894869193</v>
      </c>
      <c r="BJ48">
        <f>PnL(($D$7*(1+BJ$2)),$E48,(RiskSlide!$A$7),($G48+BJ$3),((RiskSlide!$A$10)/260),$C48,$B48,RiskSlide!$H77)</f>
        <v>-2839.6596522156301</v>
      </c>
      <c r="BK48">
        <f>PnL(($D$7*(1+BK$2)),$E48,(RiskSlide!$A$7),($G48+BK$3),((RiskSlide!$A$10)/260),$C48,$B48,RiskSlide!$H77)</f>
        <v>-273.73908933401481</v>
      </c>
      <c r="BL48">
        <f>PnL(($D$7*(1+BL$2)),$E48,(RiskSlide!$A$7),($G48+BL$3),((RiskSlide!$A$10)/260),$C48,$B48,RiskSlide!$H77)</f>
        <v>2663.8530517802792</v>
      </c>
      <c r="BM48">
        <f>PnL(($D$7*(1+BM$2)),$E48,(RiskSlide!$A$7),($G48+BM$3),((RiskSlide!$A$10)/260),$C48,$B48,RiskSlide!$H77)</f>
        <v>-13954.725333504768</v>
      </c>
      <c r="BN48">
        <f>PnL(($D$7*(1+BN$2)),$E48,(RiskSlide!$A$7),($G48+BN$3),((RiskSlide!$A$10)/260),$C48,$B48,RiskSlide!$H77)</f>
        <v>-10795.870125753368</v>
      </c>
      <c r="BO48">
        <f>PnL(($D$7*(1+BO$2)),$E48,(RiskSlide!$A$7),($G48+BO$3),((RiskSlide!$A$10)/260),$C48,$B48,RiskSlide!$H77)</f>
        <v>-8348.6747216098811</v>
      </c>
      <c r="BP48">
        <f>PnL(($D$7*(1+BP$2)),$E48,(RiskSlide!$A$7),($G48+BP$3),((RiskSlide!$A$10)/260),$C48,$B48,RiskSlide!$H77)</f>
        <v>-8050.9775589948731</v>
      </c>
      <c r="BQ48">
        <f>PnL(($D$7*(1+BQ$2)),$E48,(RiskSlide!$A$7),($G48+BQ$3),((RiskSlide!$A$10)/260),$C48,$B48,RiskSlide!$H77)</f>
        <v>-7755.7346085758927</v>
      </c>
      <c r="BR48">
        <f>PnL(($D$7*(1+BR$2)),$E48,(RiskSlide!$A$7),($G48+BR$3),((RiskSlide!$A$10)/260),$C48,$B48,RiskSlide!$H77)</f>
        <v>-7463.208017790862</v>
      </c>
      <c r="BS48">
        <f>PnL(($D$7*(1+BS$2)),$E48,(RiskSlide!$A$7),($G48+BS$3),((RiskSlide!$A$10)/260),$C48,$B48,RiskSlide!$H77)</f>
        <v>-7173.6974461765612</v>
      </c>
      <c r="BT48">
        <f>PnL(($D$7*(1+BT$2)),$E48,(RiskSlide!$A$7),($G48+BT$3),((RiskSlide!$A$10)/260),$C48,$B48,RiskSlide!$H77)</f>
        <v>-5021.4035497575651</v>
      </c>
      <c r="BU48">
        <f>PnL(($D$7*(1+BU$2)),$E48,(RiskSlide!$A$7),($G48+BU$3),((RiskSlide!$A$10)/260),$C48,$B48,RiskSlide!$H77)</f>
        <v>-3376.2053809583108</v>
      </c>
      <c r="BV48">
        <f>PnL(($D$7*(1+BV$2)),$E48,(RiskSlide!$A$7),($G48+BV$3),((RiskSlide!$A$10)/260),$C48,$B48,RiskSlide!$H77)</f>
        <v>-57652.616183618935</v>
      </c>
      <c r="BW48">
        <f>PnL(($D$7*(1+BW$2)),$E48,(RiskSlide!$A$7),($G48+BW$3),((RiskSlide!$A$10)/260),$C48,$B48,RiskSlide!$H77)</f>
        <v>-57002.085977815397</v>
      </c>
      <c r="BX48">
        <f>PnL(($D$7*(1+BX$2)),$E48,(RiskSlide!$A$7),($G48+BX$3),((RiskSlide!$A$10)/260),$C48,$B48,RiskSlide!$H77)</f>
        <v>-56811.649375848443</v>
      </c>
      <c r="BY48">
        <f>PnL(($D$7*(1+BY$2)),$E48,(RiskSlide!$A$7),($G48+BY$3),((RiskSlide!$A$10)/260),$C48,$B48,RiskSlide!$H77)</f>
        <v>-56802.478731900752</v>
      </c>
      <c r="BZ48">
        <f>PnL(($D$7*(1+BZ$2)),$E48,(RiskSlide!$A$7),($G48+BZ$3),((RiskSlide!$A$10)/260),$C48,$B48,RiskSlide!$H77)</f>
        <v>-56795.474526885642</v>
      </c>
      <c r="CA48">
        <f>PnL(($D$7*(1+CA$2)),$E48,(RiskSlide!$A$7),($G48+CA$3),((RiskSlide!$A$10)/260),$C48,$B48,RiskSlide!$H77)</f>
        <v>-56790.289743528607</v>
      </c>
      <c r="CB48">
        <f>PnL(($D$7*(1+CB$2)),$E48,(RiskSlide!$A$7),($G48+CB$3),((RiskSlide!$A$10)/260),$C48,$B48,RiskSlide!$H77)</f>
        <v>-56786.588611773826</v>
      </c>
      <c r="CC48">
        <f>PnL(($D$7*(1+CC$2)),$E48,(RiskSlide!$A$7),($G48+CC$3),((RiskSlide!$A$10)/260),$C48,$B48,RiskSlide!$H77)</f>
        <v>-56780.283562705168</v>
      </c>
      <c r="CD48">
        <f>PnL(($D$7*(1+CD$2)),$E48,(RiskSlide!$A$7),($G48+CD$3),((RiskSlide!$A$10)/260),$C48,$B48,RiskSlide!$H77)</f>
        <v>-56780.275170143344</v>
      </c>
      <c r="CE48">
        <f>PnL(($D$7*(1+CE$2)),$E48,(RiskSlide!$A$7),($G48+CE$3),((RiskSlide!$A$10)/260),$C48,$B48,RiskSlide!$H77)</f>
        <v>-123606.79613049337</v>
      </c>
      <c r="CF48">
        <f>PnL(($D$7*(1+CF$2)),$E48,(RiskSlide!$A$7),($G48+CF$3),((RiskSlide!$A$10)/260),$C48,$B48,RiskSlide!$H77)</f>
        <v>-123600.16640122808</v>
      </c>
      <c r="CG48">
        <f>PnL(($D$7*(1+CG$2)),$E48,(RiskSlide!$A$7),($G48+CG$3),((RiskSlide!$A$10)/260),$C48,$B48,RiskSlide!$H77)</f>
        <v>-123600.02550939543</v>
      </c>
      <c r="CH48">
        <f>PnL(($D$7*(1+CH$2)),$E48,(RiskSlide!$A$7),($G48+CH$3),((RiskSlide!$A$10)/260),$C48,$B48,RiskSlide!$H77)</f>
        <v>-123600.02528177899</v>
      </c>
      <c r="CI48">
        <f>PnL(($D$7*(1+CI$2)),$E48,(RiskSlide!$A$7),($G48+CI$3),((RiskSlide!$A$10)/260),$C48,$B48,RiskSlide!$H77)</f>
        <v>-123600.02520273803</v>
      </c>
      <c r="CJ48">
        <f>PnL(($D$7*(1+CJ$2)),$E48,(RiskSlide!$A$7),($G48+CJ$3),((RiskSlide!$A$10)/260),$C48,$B48,RiskSlide!$H77)</f>
        <v>-123600.02517843201</v>
      </c>
      <c r="CK48">
        <f>PnL(($D$7*(1+CK$2)),$E48,(RiskSlide!$A$7),($G48+CK$3),((RiskSlide!$A$10)/260),$C48,$B48,RiskSlide!$H77)</f>
        <v>-123600.0251719384</v>
      </c>
      <c r="CL48">
        <f>PnL(($D$7*(1+CL$2)),$E48,(RiskSlide!$A$7),($G48+CL$3),((RiskSlide!$A$10)/260),$C48,$B48,RiskSlide!$H77)</f>
        <v>-123600.0251701434</v>
      </c>
      <c r="CM48">
        <f>PnL(($D$7*(1+CM$2)),$E48,(RiskSlide!$A$7),($G48+CM$3),((RiskSlide!$A$10)/260),$C48,$B48,RiskSlide!$H77)</f>
        <v>-123600.0251701434</v>
      </c>
    </row>
    <row r="49" spans="1:91" x14ac:dyDescent="0.25">
      <c r="A49" t="s">
        <v>44</v>
      </c>
      <c r="B49">
        <v>43</v>
      </c>
      <c r="C49">
        <v>0</v>
      </c>
      <c r="E49">
        <v>1785</v>
      </c>
      <c r="F49">
        <v>3.5000000000000001E-3</v>
      </c>
      <c r="G49">
        <v>0.13373599999999999</v>
      </c>
      <c r="K49">
        <f>PnL(($D$7*(1+K$2)),$E49,(RiskSlide!$A$7),($G49+K$3),((RiskSlide!$A$10)/260),$C49,$B49,RiskSlide!$H78)</f>
        <v>360867.24275658408</v>
      </c>
      <c r="L49">
        <f>PnL(($D$7*(1+L$2)),$E49,(RiskSlide!$A$7),($G49+L$3),((RiskSlide!$A$10)/260),$C49,$B49,RiskSlide!$H78)</f>
        <v>360864.45107320725</v>
      </c>
      <c r="M49">
        <f>PnL(($D$7*(1+M$2)),$E49,(RiskSlide!$A$7),($G49+M$3),((RiskSlide!$A$10)/260),$C49,$B49,RiskSlide!$H78)</f>
        <v>360864.42965078395</v>
      </c>
      <c r="N49">
        <f>PnL(($D$7*(1+N$2)),$E49,(RiskSlide!$A$7),($G49+N$3),((RiskSlide!$A$10)/260),$C49,$B49,RiskSlide!$H78)</f>
        <v>360864.42964334605</v>
      </c>
      <c r="O49">
        <f>PnL(($D$7*(1+O$2)),$E49,(RiskSlide!$A$7),($G49+O$3),((RiskSlide!$A$10)/260),$C49,$B49,RiskSlide!$H78)</f>
        <v>360864.4296414752</v>
      </c>
      <c r="P49">
        <f>PnL(($D$7*(1+P$2)),$E49,(RiskSlide!$A$7),($G49+P$3),((RiskSlide!$A$10)/260),$C49,$B49,RiskSlide!$H78)</f>
        <v>360864.42964107334</v>
      </c>
      <c r="Q49">
        <f>PnL(($D$7*(1+Q$2)),$E49,(RiskSlide!$A$7),($G49+Q$3),((RiskSlide!$A$10)/260),$C49,$B49,RiskSlide!$H78)</f>
        <v>360864.42964100151</v>
      </c>
      <c r="R49">
        <f>PnL(($D$7*(1+R$2)),$E49,(RiskSlide!$A$7),($G49+R$3),((RiskSlide!$A$10)/260),$C49,$B49,RiskSlide!$H78)</f>
        <v>360864.42964098975</v>
      </c>
      <c r="S49">
        <f>PnL(($D$7*(1+S$2)),$E49,(RiskSlide!$A$7),($G49+S$3),((RiskSlide!$A$10)/260),$C49,$B49,RiskSlide!$H78)</f>
        <v>360864.42964098975</v>
      </c>
      <c r="T49">
        <f>PnL(($D$7*(1+T$2)),$E49,(RiskSlide!$A$7),($G49+T$3),((RiskSlide!$A$10)/260),$C49,$B49,RiskSlide!$H78)</f>
        <v>170754.8773323081</v>
      </c>
      <c r="U49">
        <f>PnL(($D$7*(1+U$2)),$E49,(RiskSlide!$A$7),($G49+U$3),((RiskSlide!$A$10)/260),$C49,$B49,RiskSlide!$H78)</f>
        <v>169603.69256219006</v>
      </c>
      <c r="V49">
        <f>PnL(($D$7*(1+V$2)),$E49,(RiskSlide!$A$7),($G49+V$3),((RiskSlide!$A$10)/260),$C49,$B49,RiskSlide!$H78)</f>
        <v>169342.4978566833</v>
      </c>
      <c r="W49">
        <f>PnL(($D$7*(1+W$2)),$E49,(RiskSlide!$A$7),($G49+W$3),((RiskSlide!$A$10)/260),$C49,$B49,RiskSlide!$H78)</f>
        <v>169332.95627236963</v>
      </c>
      <c r="X49">
        <f>PnL(($D$7*(1+X$2)),$E49,(RiskSlide!$A$7),($G49+X$3),((RiskSlide!$A$10)/260),$C49,$B49,RiskSlide!$H78)</f>
        <v>169326.17344190975</v>
      </c>
      <c r="Y49">
        <f>PnL(($D$7*(1+Y$2)),$E49,(RiskSlide!$A$7),($G49+Y$3),((RiskSlide!$A$10)/260),$C49,$B49,RiskSlide!$H78)</f>
        <v>169321.53883733141</v>
      </c>
      <c r="Z49">
        <f>PnL(($D$7*(1+Z$2)),$E49,(RiskSlide!$A$7),($G49+Z$3),((RiskSlide!$A$10)/260),$C49,$B49,RiskSlide!$H78)</f>
        <v>169318.51420739145</v>
      </c>
      <c r="AA49">
        <f>PnL(($D$7*(1+AA$2)),$E49,(RiskSlide!$A$7),($G49+AA$3),((RiskSlide!$A$10)/260),$C49,$B49,RiskSlide!$H78)</f>
        <v>169314.4808298923</v>
      </c>
      <c r="AB49">
        <f>PnL(($D$7*(1+AB$2)),$E49,(RiskSlide!$A$7),($G49+AB$3),((RiskSlide!$A$10)/260),$C49,$B49,RiskSlide!$H78)</f>
        <v>169314.47964099009</v>
      </c>
      <c r="AC49">
        <f>PnL(($D$7*(1+AC$2)),$E49,(RiskSlide!$A$7),($G49+AC$3),((RiskSlide!$A$10)/260),$C49,$B49,RiskSlide!$H78)</f>
        <v>41350.119260497209</v>
      </c>
      <c r="AD49">
        <f>PnL(($D$7*(1+AD$2)),$E49,(RiskSlide!$A$7),($G49+AD$3),((RiskSlide!$A$10)/260),$C49,$B49,RiskSlide!$H78)</f>
        <v>32848.48985522271</v>
      </c>
      <c r="AE49">
        <f>PnL(($D$7*(1+AE$2)),$E49,(RiskSlide!$A$7),($G49+AE$3),((RiskSlide!$A$10)/260),$C49,$B49,RiskSlide!$H78)</f>
        <v>26477.009849323924</v>
      </c>
      <c r="AF49">
        <f>PnL(($D$7*(1+AF$2)),$E49,(RiskSlide!$A$7),($G49+AF$3),((RiskSlide!$A$10)/260),$C49,$B49,RiskSlide!$H78)</f>
        <v>25723.530099819862</v>
      </c>
      <c r="AG49">
        <f>PnL(($D$7*(1+AG$2)),$E49,(RiskSlide!$A$7),($G49+AG$3),((RiskSlide!$A$10)/260),$C49,$B49,RiskSlide!$H78)</f>
        <v>24982.63290830941</v>
      </c>
      <c r="AH49">
        <f>PnL(($D$7*(1+AH$2)),$E49,(RiskSlide!$A$7),($G49+AH$3),((RiskSlide!$A$10)/260),$C49,$B49,RiskSlide!$H78)</f>
        <v>24255.536221865572</v>
      </c>
      <c r="AI49">
        <f>PnL(($D$7*(1+AI$2)),$E49,(RiskSlide!$A$7),($G49+AI$3),((RiskSlide!$A$10)/260),$C49,$B49,RiskSlide!$H78)</f>
        <v>23543.607413110574</v>
      </c>
      <c r="AJ49">
        <f>PnL(($D$7*(1+AJ$2)),$E49,(RiskSlide!$A$7),($G49+AJ$3),((RiskSlide!$A$10)/260),$C49,$B49,RiskSlide!$H78)</f>
        <v>18625.811668697334</v>
      </c>
      <c r="AK49">
        <f>PnL(($D$7*(1+AK$2)),$E49,(RiskSlide!$A$7),($G49+AK$3),((RiskSlide!$A$10)/260),$C49,$B49,RiskSlide!$H78)</f>
        <v>16086.278451679033</v>
      </c>
      <c r="AL49">
        <f>PnL(($D$7*(1+AL$2)),$E49,(RiskSlide!$A$7),($G49+AL$3),((RiskSlide!$A$10)/260),$C49,$B49,RiskSlide!$H78)</f>
        <v>29486.984252278518</v>
      </c>
      <c r="AM49">
        <f>PnL(($D$7*(1+AM$2)),$E49,(RiskSlide!$A$7),($G49+AM$3),((RiskSlide!$A$10)/260),$C49,$B49,RiskSlide!$H78)</f>
        <v>20342.756907133928</v>
      </c>
      <c r="AN49">
        <f>PnL(($D$7*(1+AN$2)),$E49,(RiskSlide!$A$7),($G49+AN$3),((RiskSlide!$A$10)/260),$C49,$B49,RiskSlide!$H78)</f>
        <v>13181.845210460353</v>
      </c>
      <c r="AO49">
        <f>PnL(($D$7*(1+AO$2)),$E49,(RiskSlide!$A$7),($G49+AO$3),((RiskSlide!$A$10)/260),$C49,$B49,RiskSlide!$H78)</f>
        <v>12302.732952558295</v>
      </c>
      <c r="AP49">
        <f>PnL(($D$7*(1+AP$2)),$E49,(RiskSlide!$A$7),($G49+AP$3),((RiskSlide!$A$10)/260),$C49,$B49,RiskSlide!$H78)</f>
        <v>11428.44187247568</v>
      </c>
      <c r="AQ49">
        <f>PnL(($D$7*(1+AQ$2)),$E49,(RiskSlide!$A$7),($G49+AQ$3),((RiskSlide!$A$10)/260),$C49,$B49,RiskSlide!$H78)</f>
        <v>10559.502799663238</v>
      </c>
      <c r="AR49">
        <f>PnL(($D$7*(1+AR$2)),$E49,(RiskSlide!$A$7),($G49+AR$3),((RiskSlide!$A$10)/260),$C49,$B49,RiskSlide!$H78)</f>
        <v>9696.5258802058488</v>
      </c>
      <c r="AS49">
        <f>PnL(($D$7*(1+AS$2)),$E49,(RiskSlide!$A$7),($G49+AS$3),((RiskSlide!$A$10)/260),$C49,$B49,RiskSlide!$H78)</f>
        <v>3122.73107507861</v>
      </c>
      <c r="AT49">
        <f>PnL(($D$7*(1+AT$2)),$E49,(RiskSlide!$A$7),($G49+AT$3),((RiskSlide!$A$10)/260),$C49,$B49,RiskSlide!$H78)</f>
        <v>-2713.5623345418426</v>
      </c>
      <c r="AU49">
        <f>PnL(($D$7*(1+AU$2)),$E49,(RiskSlide!$A$7),($G49+AU$3),((RiskSlide!$A$10)/260),$C49,$B49,RiskSlide!$H78)</f>
        <v>18914.373209906425</v>
      </c>
      <c r="AV49">
        <f>PnL(($D$7*(1+AV$2)),$E49,(RiskSlide!$A$7),($G49+AV$3),((RiskSlide!$A$10)/260),$C49,$B49,RiskSlide!$H78)</f>
        <v>9449.5596478945918</v>
      </c>
      <c r="AW49">
        <f>PnL(($D$7*(1+AW$2)),$E49,(RiskSlide!$A$7),($G49+AW$3),((RiskSlide!$A$10)/260),$C49,$B49,RiskSlide!$H78)</f>
        <v>1887.9084229015916</v>
      </c>
      <c r="AX49">
        <f>PnL(($D$7*(1+AX$2)),$E49,(RiskSlide!$A$7),($G49+AX$3),((RiskSlide!$A$10)/260),$C49,$B49,RiskSlide!$H78)</f>
        <v>943.78791142250407</v>
      </c>
      <c r="AY49">
        <f>PnL(($D$7*(1+AY$2)),$E49,(RiskSlide!$A$7),($G49+AY$3),((RiskSlide!$A$10)/260),$C49,$B49,RiskSlide!$H78)</f>
        <v>0</v>
      </c>
      <c r="AZ49">
        <f>PnL(($D$7*(1+AZ$2)),$E49,(RiskSlide!$A$7),($G49+AZ$3),((RiskSlide!$A$10)/260),$C49,$B49,RiskSlide!$H78)</f>
        <v>-943.41631227206335</v>
      </c>
      <c r="BA49">
        <f>PnL(($D$7*(1+BA$2)),$E49,(RiskSlide!$A$7),($G49+BA$3),((RiskSlide!$A$10)/260),$C49,$B49,RiskSlide!$H78)</f>
        <v>-1886.4157675429624</v>
      </c>
      <c r="BB49">
        <f>PnL(($D$7*(1+BB$2)),$E49,(RiskSlide!$A$7),($G49+BB$3),((RiskSlide!$A$10)/260),$C49,$B49,RiskSlide!$H78)</f>
        <v>-9406.4420997500692</v>
      </c>
      <c r="BC49">
        <f>PnL(($D$7*(1+BC$2)),$E49,(RiskSlide!$A$7),($G49+BC$3),((RiskSlide!$A$10)/260),$C49,$B49,RiskSlide!$H78)</f>
        <v>-18581.713014019617</v>
      </c>
      <c r="BD49">
        <f>PnL(($D$7*(1+BD$2)),$E49,(RiskSlide!$A$7),($G49+BD$3),((RiskSlide!$A$10)/260),$C49,$B49,RiskSlide!$H78)</f>
        <v>9655.1430978615317</v>
      </c>
      <c r="BE49">
        <f>PnL(($D$7*(1+BE$2)),$E49,(RiskSlide!$A$7),($G49+BE$3),((RiskSlide!$A$10)/260),$C49,$B49,RiskSlide!$H78)</f>
        <v>222.89204210435969</v>
      </c>
      <c r="BF49">
        <f>PnL(($D$7*(1+BF$2)),$E49,(RiskSlide!$A$7),($G49+BF$3),((RiskSlide!$A$10)/260),$C49,$B49,RiskSlide!$H78)</f>
        <v>-7284.7736117251716</v>
      </c>
      <c r="BG49">
        <f>PnL(($D$7*(1+BG$2)),$E49,(RiskSlide!$A$7),($G49+BG$3),((RiskSlide!$A$10)/260),$C49,$B49,RiskSlide!$H78)</f>
        <v>-8219.2196032035317</v>
      </c>
      <c r="BH49">
        <f>PnL(($D$7*(1+BH$2)),$E49,(RiskSlide!$A$7),($G49+BH$3),((RiskSlide!$A$10)/260),$C49,$B49,RiskSlide!$H78)</f>
        <v>-9152.4432232883446</v>
      </c>
      <c r="BI49">
        <f>PnL(($D$7*(1+BI$2)),$E49,(RiskSlide!$A$7),($G49+BI$3),((RiskSlide!$A$10)/260),$C49,$B49,RiskSlide!$H78)</f>
        <v>-10084.303556804474</v>
      </c>
      <c r="BJ49">
        <f>PnL(($D$7*(1+BJ$2)),$E49,(RiskSlide!$A$7),($G49+BJ$3),((RiskSlide!$A$10)/260),$C49,$B49,RiskSlide!$H78)</f>
        <v>-11014.637330314525</v>
      </c>
      <c r="BK49">
        <f>PnL(($D$7*(1+BK$2)),$E49,(RiskSlide!$A$7),($G49+BK$3),((RiskSlide!$A$10)/260),$C49,$B49,RiskSlide!$H78)</f>
        <v>-18370.276277242556</v>
      </c>
      <c r="BL49">
        <f>PnL(($D$7*(1+BL$2)),$E49,(RiskSlide!$A$7),($G49+BL$3),((RiskSlide!$A$10)/260),$C49,$B49,RiskSlide!$H78)</f>
        <v>-26791.373748436621</v>
      </c>
      <c r="BM49">
        <f>PnL(($D$7*(1+BM$2)),$E49,(RiskSlide!$A$7),($G49+BM$3),((RiskSlide!$A$10)/260),$C49,$B49,RiskSlide!$H78)</f>
        <v>1693.5559560466288</v>
      </c>
      <c r="BN49">
        <f>PnL(($D$7*(1+BN$2)),$E49,(RiskSlide!$A$7),($G49+BN$3),((RiskSlide!$A$10)/260),$C49,$B49,RiskSlide!$H78)</f>
        <v>-7361.8289728407208</v>
      </c>
      <c r="BO49">
        <f>PnL(($D$7*(1+BO$2)),$E49,(RiskSlide!$A$7),($G49+BO$3),((RiskSlide!$A$10)/260),$C49,$B49,RiskSlide!$H78)</f>
        <v>-14377.122464718957</v>
      </c>
      <c r="BP49">
        <f>PnL(($D$7*(1+BP$2)),$E49,(RiskSlide!$A$7),($G49+BP$3),((RiskSlide!$A$10)/260),$C49,$B49,RiskSlide!$H78)</f>
        <v>-15230.520997548649</v>
      </c>
      <c r="BQ49">
        <f>PnL(($D$7*(1+BQ$2)),$E49,(RiskSlide!$A$7),($G49+BQ$3),((RiskSlide!$A$10)/260),$C49,$B49,RiskSlide!$H78)</f>
        <v>-16076.884122082816</v>
      </c>
      <c r="BR49">
        <f>PnL(($D$7*(1+BR$2)),$E49,(RiskSlide!$A$7),($G49+BR$3),((RiskSlide!$A$10)/260),$C49,$B49,RiskSlide!$H78)</f>
        <v>-16915.460349000146</v>
      </c>
      <c r="BS49">
        <f>PnL(($D$7*(1+BS$2)),$E49,(RiskSlide!$A$7),($G49+BS$3),((RiskSlide!$A$10)/260),$C49,$B49,RiskSlide!$H78)</f>
        <v>-17745.390654294475</v>
      </c>
      <c r="BT49">
        <f>PnL(($D$7*(1+BT$2)),$E49,(RiskSlide!$A$7),($G49+BT$3),((RiskSlide!$A$10)/260),$C49,$B49,RiskSlide!$H78)</f>
        <v>-23915.299824028931</v>
      </c>
      <c r="BU49">
        <f>PnL(($D$7*(1+BU$2)),$E49,(RiskSlide!$A$7),($G49+BU$3),((RiskSlide!$A$10)/260),$C49,$B49,RiskSlide!$H78)</f>
        <v>-28631.534574586396</v>
      </c>
      <c r="BV49">
        <f>PnL(($D$7*(1+BV$2)),$E49,(RiskSlide!$A$7),($G49+BV$3),((RiskSlide!$A$10)/260),$C49,$B49,RiskSlide!$H78)</f>
        <v>-26279.116940292373</v>
      </c>
      <c r="BW49">
        <f>PnL(($D$7*(1+BW$2)),$E49,(RiskSlide!$A$7),($G49+BW$3),((RiskSlide!$A$10)/260),$C49,$B49,RiskSlide!$H78)</f>
        <v>-28143.970196929124</v>
      </c>
      <c r="BX49">
        <f>PnL(($D$7*(1+BX$2)),$E49,(RiskSlide!$A$7),($G49+BX$3),((RiskSlide!$A$10)/260),$C49,$B49,RiskSlide!$H78)</f>
        <v>-28689.888455902066</v>
      </c>
      <c r="BY49">
        <f>PnL(($D$7*(1+BY$2)),$E49,(RiskSlide!$A$7),($G49+BY$3),((RiskSlide!$A$10)/260),$C49,$B49,RiskSlide!$H78)</f>
        <v>-28716.177635217944</v>
      </c>
      <c r="BZ49">
        <f>PnL(($D$7*(1+BZ$2)),$E49,(RiskSlide!$A$7),($G49+BZ$3),((RiskSlide!$A$10)/260),$C49,$B49,RiskSlide!$H78)</f>
        <v>-28736.256356261598</v>
      </c>
      <c r="CA49">
        <f>PnL(($D$7*(1+CA$2)),$E49,(RiskSlide!$A$7),($G49+CA$3),((RiskSlide!$A$10)/260),$C49,$B49,RiskSlide!$H78)</f>
        <v>-28751.119401885629</v>
      </c>
      <c r="CB49">
        <f>PnL(($D$7*(1+CB$2)),$E49,(RiskSlide!$A$7),($G49+CB$3),((RiskSlide!$A$10)/260),$C49,$B49,RiskSlide!$H78)</f>
        <v>-28761.729312915137</v>
      </c>
      <c r="CC49">
        <f>PnL(($D$7*(1+CC$2)),$E49,(RiskSlide!$A$7),($G49+CC$3),((RiskSlide!$A$10)/260),$C49,$B49,RiskSlide!$H78)</f>
        <v>-28779.803786912511</v>
      </c>
      <c r="CD49">
        <f>PnL(($D$7*(1+CD$2)),$E49,(RiskSlide!$A$7),($G49+CD$3),((RiskSlide!$A$10)/260),$C49,$B49,RiskSlide!$H78)</f>
        <v>-28779.827845589494</v>
      </c>
      <c r="CE49">
        <f>PnL(($D$7*(1+CE$2)),$E49,(RiskSlide!$A$7),($G49+CE$3),((RiskSlide!$A$10)/260),$C49,$B49,RiskSlide!$H78)</f>
        <v>-28760.417759252432</v>
      </c>
      <c r="CF49">
        <f>PnL(($D$7*(1+CF$2)),$E49,(RiskSlide!$A$7),($G49+CF$3),((RiskSlide!$A$10)/260),$C49,$B49,RiskSlide!$H78)</f>
        <v>-28779.422983147175</v>
      </c>
      <c r="CG49">
        <f>PnL(($D$7*(1+CG$2)),$E49,(RiskSlide!$A$7),($G49+CG$3),((RiskSlide!$A$10)/260),$C49,$B49,RiskSlide!$H78)</f>
        <v>-28779.82687306757</v>
      </c>
      <c r="CH49">
        <f>PnL(($D$7*(1+CH$2)),$E49,(RiskSlide!$A$7),($G49+CH$3),((RiskSlide!$A$10)/260),$C49,$B49,RiskSlide!$H78)</f>
        <v>-28779.827525567409</v>
      </c>
      <c r="CI49">
        <f>PnL(($D$7*(1+CI$2)),$E49,(RiskSlide!$A$7),($G49+CI$3),((RiskSlide!$A$10)/260),$C49,$B49,RiskSlide!$H78)</f>
        <v>-28779.82775215105</v>
      </c>
      <c r="CJ49">
        <f>PnL(($D$7*(1+CJ$2)),$E49,(RiskSlide!$A$7),($G49+CJ$3),((RiskSlide!$A$10)/260),$C49,$B49,RiskSlide!$H78)</f>
        <v>-28779.827821828778</v>
      </c>
      <c r="CK49">
        <f>PnL(($D$7*(1+CK$2)),$E49,(RiskSlide!$A$7),($G49+CK$3),((RiskSlide!$A$10)/260),$C49,$B49,RiskSlide!$H78)</f>
        <v>-28779.827840443701</v>
      </c>
      <c r="CL49">
        <f>PnL(($D$7*(1+CL$2)),$E49,(RiskSlide!$A$7),($G49+CL$3),((RiskSlide!$A$10)/260),$C49,$B49,RiskSlide!$H78)</f>
        <v>-28779.827845589494</v>
      </c>
      <c r="CM49">
        <f>PnL(($D$7*(1+CM$2)),$E49,(RiskSlide!$A$7),($G49+CM$3),((RiskSlide!$A$10)/260),$C49,$B49,RiskSlide!$H78)</f>
        <v>-28779.827845589494</v>
      </c>
    </row>
    <row r="50" spans="1:91" x14ac:dyDescent="0.25">
      <c r="A50" t="s">
        <v>45</v>
      </c>
      <c r="B50">
        <v>-19</v>
      </c>
      <c r="C50">
        <v>1</v>
      </c>
      <c r="E50">
        <v>1790</v>
      </c>
      <c r="F50">
        <v>3.5000000000000001E-3</v>
      </c>
      <c r="G50">
        <v>0.13090299999999999</v>
      </c>
      <c r="K50">
        <f>PnL(($D$7*(1+K$2)),$E50,(RiskSlide!$A$7),($G50+K$3),((RiskSlide!$A$10)/260),$C50,$B50,RiskSlide!$H79)</f>
        <v>7588.1439219062659</v>
      </c>
      <c r="L50">
        <f>PnL(($D$7*(1+L$2)),$E50,(RiskSlide!$A$7),($G50+L$3),((RiskSlide!$A$10)/260),$C50,$B50,RiskSlide!$H79)</f>
        <v>7588.813398654298</v>
      </c>
      <c r="M50">
        <f>PnL(($D$7*(1+M$2)),$E50,(RiskSlide!$A$7),($G50+M$3),((RiskSlide!$A$10)/260),$C50,$B50,RiskSlide!$H79)</f>
        <v>7588.8167474267666</v>
      </c>
      <c r="N50">
        <f>PnL(($D$7*(1+N$2)),$E50,(RiskSlide!$A$7),($G50+N$3),((RiskSlide!$A$10)/260),$C50,$B50,RiskSlide!$H79)</f>
        <v>7588.8167479789317</v>
      </c>
      <c r="O50">
        <f>PnL(($D$7*(1+O$2)),$E50,(RiskSlide!$A$7),($G50+O$3),((RiskSlide!$A$10)/260),$C50,$B50,RiskSlide!$H79)</f>
        <v>7588.8167480968978</v>
      </c>
      <c r="P50">
        <f>PnL(($D$7*(1+P$2)),$E50,(RiskSlide!$A$7),($G50+P$3),((RiskSlide!$A$10)/260),$C50,$B50,RiskSlide!$H79)</f>
        <v>7588.8167481179435</v>
      </c>
      <c r="Q50">
        <f>PnL(($D$7*(1+Q$2)),$E50,(RiskSlide!$A$7),($G50+Q$3),((RiskSlide!$A$10)/260),$C50,$B50,RiskSlide!$H79)</f>
        <v>7588.8167481209884</v>
      </c>
      <c r="R50">
        <f>PnL(($D$7*(1+R$2)),$E50,(RiskSlide!$A$7),($G50+R$3),((RiskSlide!$A$10)/260),$C50,$B50,RiskSlide!$H79)</f>
        <v>7588.8167481213659</v>
      </c>
      <c r="S50">
        <f>PnL(($D$7*(1+S$2)),$E50,(RiskSlide!$A$7),($G50+S$3),((RiskSlide!$A$10)/260),$C50,$B50,RiskSlide!$H79)</f>
        <v>7588.8167481213659</v>
      </c>
      <c r="T50">
        <f>PnL(($D$7*(1+T$2)),$E50,(RiskSlide!$A$7),($G50+T$3),((RiskSlide!$A$10)/260),$C50,$B50,RiskSlide!$H79)</f>
        <v>7127.4099254966941</v>
      </c>
      <c r="U50">
        <f>PnL(($D$7*(1+U$2)),$E50,(RiskSlide!$A$7),($G50+U$3),((RiskSlide!$A$10)/260),$C50,$B50,RiskSlide!$H79)</f>
        <v>7511.3368215399778</v>
      </c>
      <c r="V50">
        <f>PnL(($D$7*(1+V$2)),$E50,(RiskSlide!$A$7),($G50+V$3),((RiskSlide!$A$10)/260),$C50,$B50,RiskSlide!$H79)</f>
        <v>7583.3151844336644</v>
      </c>
      <c r="W50">
        <f>PnL(($D$7*(1+W$2)),$E50,(RiskSlide!$A$7),($G50+W$3),((RiskSlide!$A$10)/260),$C50,$B50,RiskSlide!$H79)</f>
        <v>7585.4029223022344</v>
      </c>
      <c r="X50">
        <f>PnL(($D$7*(1+X$2)),$E50,(RiskSlide!$A$7),($G50+X$3),((RiskSlide!$A$10)/260),$C50,$B50,RiskSlide!$H79)</f>
        <v>7586.799356182164</v>
      </c>
      <c r="Y50">
        <f>PnL(($D$7*(1+Y$2)),$E50,(RiskSlide!$A$7),($G50+Y$3),((RiskSlide!$A$10)/260),$C50,$B50,RiskSlide!$H79)</f>
        <v>7587.6899362675485</v>
      </c>
      <c r="Z50">
        <f>PnL(($D$7*(1+Z$2)),$E50,(RiskSlide!$A$7),($G50+Z$3),((RiskSlide!$A$10)/260),$C50,$B50,RiskSlide!$H79)</f>
        <v>7588.2272745777509</v>
      </c>
      <c r="AA50">
        <f>PnL(($D$7*(1+AA$2)),$E50,(RiskSlide!$A$7),($G50+AA$3),((RiskSlide!$A$10)/260),$C50,$B50,RiskSlide!$H79)</f>
        <v>7588.8167102132429</v>
      </c>
      <c r="AB50">
        <f>PnL(($D$7*(1+AB$2)),$E50,(RiskSlide!$A$7),($G50+AB$3),((RiskSlide!$A$10)/260),$C50,$B50,RiskSlide!$H79)</f>
        <v>7588.8167481213659</v>
      </c>
      <c r="AC50">
        <f>PnL(($D$7*(1+AC$2)),$E50,(RiskSlide!$A$7),($G50+AC$3),((RiskSlide!$A$10)/260),$C50,$B50,RiskSlide!$H79)</f>
        <v>-1851.9840837651429</v>
      </c>
      <c r="AD50">
        <f>PnL(($D$7*(1+AD$2)),$E50,(RiskSlide!$A$7),($G50+AD$3),((RiskSlide!$A$10)/260),$C50,$B50,RiskSlide!$H79)</f>
        <v>1690.6005988123184</v>
      </c>
      <c r="AE50">
        <f>PnL(($D$7*(1+AE$2)),$E50,(RiskSlide!$A$7),($G50+AE$3),((RiskSlide!$A$10)/260),$C50,$B50,RiskSlide!$H79)</f>
        <v>4242.8172838725231</v>
      </c>
      <c r="AF50">
        <f>PnL(($D$7*(1+AF$2)),$E50,(RiskSlide!$A$7),($G50+AF$3),((RiskSlide!$A$10)/260),$C50,$B50,RiskSlide!$H79)</f>
        <v>4534.3425048702502</v>
      </c>
      <c r="AG50">
        <f>PnL(($D$7*(1+AG$2)),$E50,(RiskSlide!$A$7),($G50+AG$3),((RiskSlide!$A$10)/260),$C50,$B50,RiskSlide!$H79)</f>
        <v>4817.9728241362827</v>
      </c>
      <c r="AH50">
        <f>PnL(($D$7*(1+AH$2)),$E50,(RiskSlide!$A$7),($G50+AH$3),((RiskSlide!$A$10)/260),$C50,$B50,RiskSlide!$H79)</f>
        <v>5093.0211394242097</v>
      </c>
      <c r="AI50">
        <f>PnL(($D$7*(1+AI$2)),$E50,(RiskSlide!$A$7),($G50+AI$3),((RiskSlide!$A$10)/260),$C50,$B50,RiskSlide!$H79)</f>
        <v>5358.7326641936015</v>
      </c>
      <c r="AJ50">
        <f>PnL(($D$7*(1+AJ$2)),$E50,(RiskSlide!$A$7),($G50+AJ$3),((RiskSlide!$A$10)/260),$C50,$B50,RiskSlide!$H79)</f>
        <v>7033.468844109042</v>
      </c>
      <c r="AK50">
        <f>PnL(($D$7*(1+AK$2)),$E50,(RiskSlide!$A$7),($G50+AK$3),((RiskSlide!$A$10)/260),$C50,$B50,RiskSlide!$H79)</f>
        <v>7588.7052133654952</v>
      </c>
      <c r="AL50">
        <f>PnL(($D$7*(1+AL$2)),$E50,(RiskSlide!$A$7),($G50+AL$3),((RiskSlide!$A$10)/260),$C50,$B50,RiskSlide!$H79)</f>
        <v>-4751.8859051709569</v>
      </c>
      <c r="AM50">
        <f>PnL(($D$7*(1+AM$2)),$E50,(RiskSlide!$A$7),($G50+AM$3),((RiskSlide!$A$10)/260),$C50,$B50,RiskSlide!$H79)</f>
        <v>-849.82648116238693</v>
      </c>
      <c r="AN50">
        <f>PnL(($D$7*(1+AN$2)),$E50,(RiskSlide!$A$7),($G50+AN$3),((RiskSlide!$A$10)/260),$C50,$B50,RiskSlide!$H79)</f>
        <v>2134.8000197472456</v>
      </c>
      <c r="AO50">
        <f>PnL(($D$7*(1+AO$2)),$E50,(RiskSlide!$A$7),($G50+AO$3),((RiskSlide!$A$10)/260),$C50,$B50,RiskSlide!$H79)</f>
        <v>2493.8395894097966</v>
      </c>
      <c r="AP50">
        <f>PnL(($D$7*(1+AP$2)),$E50,(RiskSlide!$A$7),($G50+AP$3),((RiskSlide!$A$10)/260),$C50,$B50,RiskSlide!$H79)</f>
        <v>2848.6893324850512</v>
      </c>
      <c r="AQ50">
        <f>PnL(($D$7*(1+AQ$2)),$E50,(RiskSlide!$A$7),($G50+AQ$3),((RiskSlide!$A$10)/260),$C50,$B50,RiskSlide!$H79)</f>
        <v>3198.9079648563916</v>
      </c>
      <c r="AR50">
        <f>PnL(($D$7*(1+AR$2)),$E50,(RiskSlide!$A$7),($G50+AR$3),((RiskSlide!$A$10)/260),$C50,$B50,RiskSlide!$H79)</f>
        <v>3543.9930027440087</v>
      </c>
      <c r="AS50">
        <f>PnL(($D$7*(1+AS$2)),$E50,(RiskSlide!$A$7),($G50+AS$3),((RiskSlide!$A$10)/260),$C50,$B50,RiskSlide!$H79)</f>
        <v>6029.2290198145647</v>
      </c>
      <c r="AT50">
        <f>PnL(($D$7*(1+AT$2)),$E50,(RiskSlide!$A$7),($G50+AT$3),((RiskSlide!$A$10)/260),$C50,$B50,RiskSlide!$H79)</f>
        <v>7575.1049746018425</v>
      </c>
      <c r="AU50">
        <f>PnL(($D$7*(1+AU$2)),$E50,(RiskSlide!$A$7),($G50+AU$3),((RiskSlide!$A$10)/260),$C50,$B50,RiskSlide!$H79)</f>
        <v>-8213.701131737269</v>
      </c>
      <c r="AV50">
        <f>PnL(($D$7*(1+AV$2)),$E50,(RiskSlide!$A$7),($G50+AV$3),((RiskSlide!$A$10)/260),$C50,$B50,RiskSlide!$H79)</f>
        <v>-4082.1859679944228</v>
      </c>
      <c r="AW50">
        <f>PnL(($D$7*(1+AW$2)),$E50,(RiskSlide!$A$7),($G50+AW$3),((RiskSlide!$A$10)/260),$C50,$B50,RiskSlide!$H79)</f>
        <v>-810.00913966129815</v>
      </c>
      <c r="AX50">
        <f>PnL(($D$7*(1+AX$2)),$E50,(RiskSlide!$A$7),($G50+AX$3),((RiskSlide!$A$10)/260),$C50,$B50,RiskSlide!$H79)</f>
        <v>-404.47249737047173</v>
      </c>
      <c r="AY50">
        <f>PnL(($D$7*(1+AY$2)),$E50,(RiskSlide!$A$7),($G50+AY$3),((RiskSlide!$A$10)/260),$C50,$B50,RiskSlide!$H79)</f>
        <v>0</v>
      </c>
      <c r="AZ50">
        <f>PnL(($D$7*(1+AZ$2)),$E50,(RiskSlide!$A$7),($G50+AZ$3),((RiskSlide!$A$10)/260),$C50,$B50,RiskSlide!$H79)</f>
        <v>403.28472209476445</v>
      </c>
      <c r="BA50">
        <f>PnL(($D$7*(1+BA$2)),$E50,(RiskSlide!$A$7),($G50+BA$3),((RiskSlide!$A$10)/260),$C50,$B50,RiskSlide!$H79)</f>
        <v>805.2383115318321</v>
      </c>
      <c r="BB50">
        <f>PnL(($D$7*(1+BB$2)),$E50,(RiskSlide!$A$7),($G50+BB$3),((RiskSlide!$A$10)/260),$C50,$B50,RiskSlide!$H79)</f>
        <v>3944.7404399811035</v>
      </c>
      <c r="BC50">
        <f>PnL(($D$7*(1+BC$2)),$E50,(RiskSlide!$A$7),($G50+BC$3),((RiskSlide!$A$10)/260),$C50,$B50,RiskSlide!$H79)</f>
        <v>7204.9093697251919</v>
      </c>
      <c r="BD50">
        <f>PnL(($D$7*(1+BD$2)),$E50,(RiskSlide!$A$7),($G50+BD$3),((RiskSlide!$A$10)/260),$C50,$B50,RiskSlide!$H79)</f>
        <v>-12257.548750130547</v>
      </c>
      <c r="BE50">
        <f>PnL(($D$7*(1+BE$2)),$E50,(RiskSlide!$A$7),($G50+BE$3),((RiskSlide!$A$10)/260),$C50,$B50,RiskSlide!$H79)</f>
        <v>-8050.6016056674298</v>
      </c>
      <c r="BF50">
        <f>PnL(($D$7*(1+BF$2)),$E50,(RiskSlide!$A$7),($G50+BF$3),((RiskSlide!$A$10)/260),$C50,$B50,RiskSlide!$H79)</f>
        <v>-4685.3276108542386</v>
      </c>
      <c r="BG50">
        <f>PnL(($D$7*(1+BG$2)),$E50,(RiskSlide!$A$7),($G50+BG$3),((RiskSlide!$A$10)/260),$C50,$B50,RiskSlide!$H79)</f>
        <v>-4264.704328249195</v>
      </c>
      <c r="BH50">
        <f>PnL(($D$7*(1+BH$2)),$E50,(RiskSlide!$A$7),($G50+BH$3),((RiskSlide!$A$10)/260),$C50,$B50,RiskSlide!$H79)</f>
        <v>-3844.0926966161101</v>
      </c>
      <c r="BI50">
        <f>PnL(($D$7*(1+BI$2)),$E50,(RiskSlide!$A$7),($G50+BI$3),((RiskSlide!$A$10)/260),$C50,$B50,RiskSlide!$H79)</f>
        <v>-3423.4942750656219</v>
      </c>
      <c r="BJ50">
        <f>PnL(($D$7*(1+BJ$2)),$E50,(RiskSlide!$A$7),($G50+BJ$3),((RiskSlide!$A$10)/260),$C50,$B50,RiskSlide!$H79)</f>
        <v>-3002.9108738259424</v>
      </c>
      <c r="BK50">
        <f>PnL(($D$7*(1+BK$2)),$E50,(RiskSlide!$A$7),($G50+BK$3),((RiskSlide!$A$10)/260),$C50,$B50,RiskSlide!$H79)</f>
        <v>360.85409939057058</v>
      </c>
      <c r="BL50">
        <f>PnL(($D$7*(1+BL$2)),$E50,(RiskSlide!$A$7),($G50+BL$3),((RiskSlide!$A$10)/260),$C50,$B50,RiskSlide!$H79)</f>
        <v>4556.1209969168603</v>
      </c>
      <c r="BM50">
        <f>PnL(($D$7*(1+BM$2)),$E50,(RiskSlide!$A$7),($G50+BM$3),((RiskSlide!$A$10)/260),$C50,$B50,RiskSlide!$H79)</f>
        <v>-16886.203178616608</v>
      </c>
      <c r="BN50">
        <f>PnL(($D$7*(1+BN$2)),$E50,(RiskSlide!$A$7),($G50+BN$3),((RiskSlide!$A$10)/260),$C50,$B50,RiskSlide!$H79)</f>
        <v>-12764.250659546617</v>
      </c>
      <c r="BO50">
        <f>PnL(($D$7*(1+BO$2)),$E50,(RiskSlide!$A$7),($G50+BO$3),((RiskSlide!$A$10)/260),$C50,$B50,RiskSlide!$H79)</f>
        <v>-9514.8075951783485</v>
      </c>
      <c r="BP50">
        <f>PnL(($D$7*(1+BP$2)),$E50,(RiskSlide!$A$7),($G50+BP$3),((RiskSlide!$A$10)/260),$C50,$B50,RiskSlide!$H79)</f>
        <v>-9113.6825439548429</v>
      </c>
      <c r="BQ50">
        <f>PnL(($D$7*(1+BQ$2)),$E50,(RiskSlide!$A$7),($G50+BQ$3),((RiskSlide!$A$10)/260),$C50,$B50,RiskSlide!$H79)</f>
        <v>-8714.0960924531391</v>
      </c>
      <c r="BR50">
        <f>PnL(($D$7*(1+BR$2)),$E50,(RiskSlide!$A$7),($G50+BR$3),((RiskSlide!$A$10)/260),$C50,$B50,RiskSlide!$H79)</f>
        <v>-8316.2247036213503</v>
      </c>
      <c r="BS50">
        <f>PnL(($D$7*(1+BS$2)),$E50,(RiskSlide!$A$7),($G50+BS$3),((RiskSlide!$A$10)/260),$C50,$B50,RiskSlide!$H79)</f>
        <v>-7920.2725213038493</v>
      </c>
      <c r="BT50">
        <f>PnL(($D$7*(1+BT$2)),$E50,(RiskSlide!$A$7),($G50+BT$3),((RiskSlide!$A$10)/260),$C50,$B50,RiskSlide!$H79)</f>
        <v>-4861.4628706099838</v>
      </c>
      <c r="BU50">
        <f>PnL(($D$7*(1+BU$2)),$E50,(RiskSlide!$A$7),($G50+BU$3),((RiskSlide!$A$10)/260),$C50,$B50,RiskSlide!$H79)</f>
        <v>-1926.2492232012789</v>
      </c>
      <c r="BV50">
        <f>PnL(($D$7*(1+BV$2)),$E50,(RiskSlide!$A$7),($G50+BV$3),((RiskSlide!$A$10)/260),$C50,$B50,RiskSlide!$H79)</f>
        <v>-70719.915513315311</v>
      </c>
      <c r="BW50">
        <f>PnL(($D$7*(1+BW$2)),$E50,(RiskSlide!$A$7),($G50+BW$3),((RiskSlide!$A$10)/260),$C50,$B50,RiskSlide!$H79)</f>
        <v>-69763.378932463937</v>
      </c>
      <c r="BX50">
        <f>PnL(($D$7*(1+BX$2)),$E50,(RiskSlide!$A$7),($G50+BX$3),((RiskSlide!$A$10)/260),$C50,$B50,RiskSlide!$H79)</f>
        <v>-69462.873223115224</v>
      </c>
      <c r="BY50">
        <f>PnL(($D$7*(1+BY$2)),$E50,(RiskSlide!$A$7),($G50+BY$3),((RiskSlide!$A$10)/260),$C50,$B50,RiskSlide!$H79)</f>
        <v>-69447.420594956027</v>
      </c>
      <c r="BZ50">
        <f>PnL(($D$7*(1+BZ$2)),$E50,(RiskSlide!$A$7),($G50+BZ$3),((RiskSlide!$A$10)/260),$C50,$B50,RiskSlide!$H79)</f>
        <v>-69435.430377015145</v>
      </c>
      <c r="CA50">
        <f>PnL(($D$7*(1+CA$2)),$E50,(RiskSlide!$A$7),($G50+CA$3),((RiskSlide!$A$10)/260),$C50,$B50,RiskSlide!$H79)</f>
        <v>-69426.402782581034</v>
      </c>
      <c r="CB50">
        <f>PnL(($D$7*(1+CB$2)),$E50,(RiskSlide!$A$7),($G50+CB$3),((RiskSlide!$A$10)/260),$C50,$B50,RiskSlide!$H79)</f>
        <v>-69419.839994098686</v>
      </c>
      <c r="CC50">
        <f>PnL(($D$7*(1+CC$2)),$E50,(RiskSlide!$A$7),($G50+CC$3),((RiskSlide!$A$10)/260),$C50,$B50,RiskSlide!$H79)</f>
        <v>-69408.114621798813</v>
      </c>
      <c r="CD50">
        <f>PnL(($D$7*(1+CD$2)),$E50,(RiskSlide!$A$7),($G50+CD$3),((RiskSlide!$A$10)/260),$C50,$B50,RiskSlide!$H79)</f>
        <v>-69408.096171316414</v>
      </c>
      <c r="CE50">
        <f>PnL(($D$7*(1+CE$2)),$E50,(RiskSlide!$A$7),($G50+CE$3),((RiskSlide!$A$10)/260),$C50,$B50,RiskSlide!$H79)</f>
        <v>-154056.96916114067</v>
      </c>
      <c r="CF50">
        <f>PnL(($D$7*(1+CF$2)),$E50,(RiskSlide!$A$7),($G50+CF$3),((RiskSlide!$A$10)/260),$C50,$B50,RiskSlide!$H79)</f>
        <v>-154046.6776250625</v>
      </c>
      <c r="CG50">
        <f>PnL(($D$7*(1+CG$2)),$E50,(RiskSlide!$A$7),($G50+CG$3),((RiskSlide!$A$10)/260),$C50,$B50,RiskSlide!$H79)</f>
        <v>-154046.44674280024</v>
      </c>
      <c r="CH50">
        <f>PnL(($D$7*(1+CH$2)),$E50,(RiskSlide!$A$7),($G50+CH$3),((RiskSlide!$A$10)/260),$C50,$B50,RiskSlide!$H79)</f>
        <v>-154046.44635897991</v>
      </c>
      <c r="CI50">
        <f>PnL(($D$7*(1+CI$2)),$E50,(RiskSlide!$A$7),($G50+CI$3),((RiskSlide!$A$10)/260),$C50,$B50,RiskSlide!$H79)</f>
        <v>-154046.4462258463</v>
      </c>
      <c r="CJ50">
        <f>PnL(($D$7*(1+CJ$2)),$E50,(RiskSlide!$A$7),($G50+CJ$3),((RiskSlide!$A$10)/260),$C50,$B50,RiskSlide!$H79)</f>
        <v>-154046.44618506671</v>
      </c>
      <c r="CK50">
        <f>PnL(($D$7*(1+CK$2)),$E50,(RiskSlide!$A$7),($G50+CK$3),((RiskSlide!$A$10)/260),$C50,$B50,RiskSlide!$H79)</f>
        <v>-154046.44617425546</v>
      </c>
      <c r="CL50">
        <f>PnL(($D$7*(1+CL$2)),$E50,(RiskSlide!$A$7),($G50+CL$3),((RiskSlide!$A$10)/260),$C50,$B50,RiskSlide!$H79)</f>
        <v>-154046.44617131649</v>
      </c>
      <c r="CM50">
        <f>PnL(($D$7*(1+CM$2)),$E50,(RiskSlide!$A$7),($G50+CM$3),((RiskSlide!$A$10)/260),$C50,$B50,RiskSlide!$H79)</f>
        <v>-154046.44617131649</v>
      </c>
    </row>
    <row r="51" spans="1:91" x14ac:dyDescent="0.25">
      <c r="A51" t="s">
        <v>46</v>
      </c>
      <c r="B51">
        <v>-31</v>
      </c>
      <c r="C51">
        <v>0</v>
      </c>
      <c r="E51">
        <v>1790</v>
      </c>
      <c r="F51">
        <v>3.5000000000000001E-3</v>
      </c>
      <c r="G51">
        <v>0.13090299999999999</v>
      </c>
      <c r="K51">
        <f>PnL(($D$7*(1+K$2)),$E51,(RiskSlide!$A$7),($G51+K$3),((RiskSlide!$A$10)/260),$C51,$B51,RiskSlide!$H80)</f>
        <v>-263807.64412741625</v>
      </c>
      <c r="L51">
        <f>PnL(($D$7*(1+L$2)),$E51,(RiskSlide!$A$7),($G51+L$3),((RiskSlide!$A$10)/260),$C51,$B51,RiskSlide!$H80)</f>
        <v>-263806.55182324845</v>
      </c>
      <c r="M51">
        <f>PnL(($D$7*(1+M$2)),$E51,(RiskSlide!$A$7),($G51+M$3),((RiskSlide!$A$10)/260),$C51,$B51,RiskSlide!$H80)</f>
        <v>-263806.54635946214</v>
      </c>
      <c r="N51">
        <f>PnL(($D$7*(1+N$2)),$E51,(RiskSlide!$A$7),($G51+N$3),((RiskSlide!$A$10)/260),$C51,$B51,RiskSlide!$H80)</f>
        <v>-263806.54635856062</v>
      </c>
      <c r="O51">
        <f>PnL(($D$7*(1+O$2)),$E51,(RiskSlide!$A$7),($G51+O$3),((RiskSlide!$A$10)/260),$C51,$B51,RiskSlide!$H80)</f>
        <v>-263806.54635836818</v>
      </c>
      <c r="P51">
        <f>PnL(($D$7*(1+P$2)),$E51,(RiskSlide!$A$7),($G51+P$3),((RiskSlide!$A$10)/260),$C51,$B51,RiskSlide!$H80)</f>
        <v>-263806.54635833402</v>
      </c>
      <c r="Q51">
        <f>PnL(($D$7*(1+Q$2)),$E51,(RiskSlide!$A$7),($G51+Q$3),((RiskSlide!$A$10)/260),$C51,$B51,RiskSlide!$H80)</f>
        <v>-263806.54635832872</v>
      </c>
      <c r="R51">
        <f>PnL(($D$7*(1+R$2)),$E51,(RiskSlide!$A$7),($G51+R$3),((RiskSlide!$A$10)/260),$C51,$B51,RiskSlide!$H80)</f>
        <v>-263806.54635832837</v>
      </c>
      <c r="S51">
        <f>PnL(($D$7*(1+S$2)),$E51,(RiskSlide!$A$7),($G51+S$3),((RiskSlide!$A$10)/260),$C51,$B51,RiskSlide!$H80)</f>
        <v>-263806.54635832837</v>
      </c>
      <c r="T51">
        <f>PnL(($D$7*(1+T$2)),$E51,(RiskSlide!$A$7),($G51+T$3),((RiskSlide!$A$10)/260),$C51,$B51,RiskSlide!$H80)</f>
        <v>-126465.21801629517</v>
      </c>
      <c r="U51">
        <f>PnL(($D$7*(1+U$2)),$E51,(RiskSlide!$A$7),($G51+U$3),((RiskSlide!$A$10)/260),$C51,$B51,RiskSlide!$H80)</f>
        <v>-125838.81097538235</v>
      </c>
      <c r="V51">
        <f>PnL(($D$7*(1+V$2)),$E51,(RiskSlide!$A$7),($G51+V$3),((RiskSlide!$A$10)/260),$C51,$B51,RiskSlide!$H80)</f>
        <v>-125721.37259381954</v>
      </c>
      <c r="W51">
        <f>PnL(($D$7*(1+W$2)),$E51,(RiskSlide!$A$7),($G51+W$3),((RiskSlide!$A$10)/260),$C51,$B51,RiskSlide!$H80)</f>
        <v>-125717.96628466512</v>
      </c>
      <c r="X51">
        <f>PnL(($D$7*(1+X$2)),$E51,(RiskSlide!$A$7),($G51+X$3),((RiskSlide!$A$10)/260),$C51,$B51,RiskSlide!$H80)</f>
        <v>-125715.68789254558</v>
      </c>
      <c r="Y51">
        <f>PnL(($D$7*(1+Y$2)),$E51,(RiskSlide!$A$7),($G51+Y$3),((RiskSlide!$A$10)/260),$C51,$B51,RiskSlide!$H80)</f>
        <v>-125714.23484082695</v>
      </c>
      <c r="Z51">
        <f>PnL(($D$7*(1+Z$2)),$E51,(RiskSlide!$A$7),($G51+Z$3),((RiskSlide!$A$10)/260),$C51,$B51,RiskSlide!$H80)</f>
        <v>-125713.35813095246</v>
      </c>
      <c r="AA51">
        <f>PnL(($D$7*(1+AA$2)),$E51,(RiskSlide!$A$7),($G51+AA$3),((RiskSlide!$A$10)/260),$C51,$B51,RiskSlide!$H80)</f>
        <v>-125712.3964201785</v>
      </c>
      <c r="AB51">
        <f>PnL(($D$7*(1+AB$2)),$E51,(RiskSlide!$A$7),($G51+AB$3),((RiskSlide!$A$10)/260),$C51,$B51,RiskSlide!$H80)</f>
        <v>-125712.39635832859</v>
      </c>
      <c r="AC51">
        <f>PnL(($D$7*(1+AC$2)),$E51,(RiskSlide!$A$7),($G51+AC$3),((RiskSlide!$A$10)/260),$C51,$B51,RiskSlide!$H80)</f>
        <v>-30640.488241932871</v>
      </c>
      <c r="AD51">
        <f>PnL(($D$7*(1+AD$2)),$E51,(RiskSlide!$A$7),($G51+AD$3),((RiskSlide!$A$10)/260),$C51,$B51,RiskSlide!$H80)</f>
        <v>-24860.48165456982</v>
      </c>
      <c r="AE51">
        <f>PnL(($D$7*(1+AE$2)),$E51,(RiskSlide!$A$7),($G51+AE$3),((RiskSlide!$A$10)/260),$C51,$B51,RiskSlide!$H80)</f>
        <v>-20696.338642102819</v>
      </c>
      <c r="AF51">
        <f>PnL(($D$7*(1+AF$2)),$E51,(RiskSlide!$A$7),($G51+AF$3),((RiskSlide!$A$10)/260),$C51,$B51,RiskSlide!$H80)</f>
        <v>-20220.692228896529</v>
      </c>
      <c r="AG51">
        <f>PnL(($D$7*(1+AG$2)),$E51,(RiskSlide!$A$7),($G51+AG$3),((RiskSlide!$A$10)/260),$C51,$B51,RiskSlide!$H80)</f>
        <v>-19757.926971146422</v>
      </c>
      <c r="AH51">
        <f>PnL(($D$7*(1+AH$2)),$E51,(RiskSlide!$A$7),($G51+AH$3),((RiskSlide!$A$10)/260),$C51,$B51,RiskSlide!$H80)</f>
        <v>-19309.163930413844</v>
      </c>
      <c r="AI51">
        <f>PnL(($D$7*(1+AI$2)),$E51,(RiskSlide!$A$7),($G51+AI$3),((RiskSlide!$A$10)/260),$C51,$B51,RiskSlide!$H80)</f>
        <v>-18875.634600526588</v>
      </c>
      <c r="AJ51">
        <f>PnL(($D$7*(1+AJ$2)),$E51,(RiskSlide!$A$7),($G51+AJ$3),((RiskSlide!$A$10)/260),$C51,$B51,RiskSlide!$H80)</f>
        <v>-16143.17030698021</v>
      </c>
      <c r="AK51">
        <f>PnL(($D$7*(1+AK$2)),$E51,(RiskSlide!$A$7),($G51+AK$3),((RiskSlide!$A$10)/260),$C51,$B51,RiskSlide!$H80)</f>
        <v>-15237.258336088213</v>
      </c>
      <c r="AL51">
        <f>PnL(($D$7*(1+AL$2)),$E51,(RiskSlide!$A$7),($G51+AL$3),((RiskSlide!$A$10)/260),$C51,$B51,RiskSlide!$H80)</f>
        <v>-21562.492003173713</v>
      </c>
      <c r="AM51">
        <f>PnL(($D$7*(1+AM$2)),$E51,(RiskSlide!$A$7),($G51+AM$3),((RiskSlide!$A$10)/260),$C51,$B51,RiskSlide!$H80)</f>
        <v>-15195.97399558096</v>
      </c>
      <c r="AN51">
        <f>PnL(($D$7*(1+AN$2)),$E51,(RiskSlide!$A$7),($G51+AN$3),((RiskSlide!$A$10)/260),$C51,$B51,RiskSlide!$H80)</f>
        <v>-10326.32023093928</v>
      </c>
      <c r="AO51">
        <f>PnL(($D$7*(1+AO$2)),$E51,(RiskSlide!$A$7),($G51+AO$3),((RiskSlide!$A$10)/260),$C51,$B51,RiskSlide!$H80)</f>
        <v>-9740.5188278055557</v>
      </c>
      <c r="AP51">
        <f>PnL(($D$7*(1+AP$2)),$E51,(RiskSlide!$A$7),($G51+AP$3),((RiskSlide!$A$10)/260),$C51,$B51,RiskSlide!$H80)</f>
        <v>-9161.5534575250531</v>
      </c>
      <c r="AQ51">
        <f>PnL(($D$7*(1+AQ$2)),$E51,(RiskSlide!$A$7),($G51+AQ$3),((RiskSlide!$A$10)/260),$C51,$B51,RiskSlide!$H80)</f>
        <v>-8590.1441099715503</v>
      </c>
      <c r="AR51">
        <f>PnL(($D$7*(1+AR$2)),$E51,(RiskSlide!$A$7),($G51+AR$3),((RiskSlide!$A$10)/260),$C51,$B51,RiskSlide!$H80)</f>
        <v>-8027.1106271024564</v>
      </c>
      <c r="AS51">
        <f>PnL(($D$7*(1+AS$2)),$E51,(RiskSlide!$A$7),($G51+AS$3),((RiskSlide!$A$10)/260),$C51,$B51,RiskSlide!$H80)</f>
        <v>-3972.2518624086547</v>
      </c>
      <c r="AT51">
        <f>PnL(($D$7*(1+AT$2)),$E51,(RiskSlide!$A$7),($G51+AT$3),((RiskSlide!$A$10)/260),$C51,$B51,RiskSlide!$H80)</f>
        <v>-1450.0331993344162</v>
      </c>
      <c r="AU51">
        <f>PnL(($D$7*(1+AU$2)),$E51,(RiskSlide!$A$7),($G51+AU$3),((RiskSlide!$A$10)/260),$C51,$B51,RiskSlide!$H80)</f>
        <v>-13401.301846519233</v>
      </c>
      <c r="AV51">
        <f>PnL(($D$7*(1+AV$2)),$E51,(RiskSlide!$A$7),($G51+AV$3),((RiskSlide!$A$10)/260),$C51,$B51,RiskSlide!$H80)</f>
        <v>-6660.4086846230075</v>
      </c>
      <c r="AW51">
        <f>PnL(($D$7*(1+AW$2)),$E51,(RiskSlide!$A$7),($G51+AW$3),((RiskSlide!$A$10)/260),$C51,$B51,RiskSlide!$H80)</f>
        <v>-1321.593859447205</v>
      </c>
      <c r="AX51">
        <f>PnL(($D$7*(1+AX$2)),$E51,(RiskSlide!$A$7),($G51+AX$3),((RiskSlide!$A$10)/260),$C51,$B51,RiskSlide!$H80)</f>
        <v>-659.92881149971936</v>
      </c>
      <c r="AY51">
        <f>PnL(($D$7*(1+AY$2)),$E51,(RiskSlide!$A$7),($G51+AY$3),((RiskSlide!$A$10)/260),$C51,$B51,RiskSlide!$H80)</f>
        <v>0</v>
      </c>
      <c r="AZ51">
        <f>PnL(($D$7*(1+AZ$2)),$E51,(RiskSlide!$A$7),($G51+AZ$3),((RiskSlide!$A$10)/260),$C51,$B51,RiskSlide!$H80)</f>
        <v>657.99086236461335</v>
      </c>
      <c r="BA51">
        <f>PnL(($D$7*(1+BA$2)),$E51,(RiskSlide!$A$7),($G51+BA$3),((RiskSlide!$A$10)/260),$C51,$B51,RiskSlide!$H80)</f>
        <v>1313.8098767091265</v>
      </c>
      <c r="BB51">
        <f>PnL(($D$7*(1+BB$2)),$E51,(RiskSlide!$A$7),($G51+BB$3),((RiskSlide!$A$10)/260),$C51,$B51,RiskSlide!$H80)</f>
        <v>6436.1554547053056</v>
      </c>
      <c r="BC51">
        <f>PnL(($D$7*(1+BC$2)),$E51,(RiskSlide!$A$7),($G51+BC$3),((RiskSlide!$A$10)/260),$C51,$B51,RiskSlide!$H80)</f>
        <v>11755.37844534075</v>
      </c>
      <c r="BD51">
        <f>PnL(($D$7*(1+BD$2)),$E51,(RiskSlide!$A$7),($G51+BD$3),((RiskSlide!$A$10)/260),$C51,$B51,RiskSlide!$H80)</f>
        <v>-6189.7434870555853</v>
      </c>
      <c r="BE51">
        <f>PnL(($D$7*(1+BE$2)),$E51,(RiskSlide!$A$7),($G51+BE$3),((RiskSlide!$A$10)/260),$C51,$B51,RiskSlide!$H80)</f>
        <v>674.2229065421327</v>
      </c>
      <c r="BF51">
        <f>PnL(($D$7*(1+BF$2)),$E51,(RiskSlide!$A$7),($G51+BF$3),((RiskSlide!$A$10)/260),$C51,$B51,RiskSlide!$H80)</f>
        <v>6164.93310860576</v>
      </c>
      <c r="BG51">
        <f>PnL(($D$7*(1+BG$2)),$E51,(RiskSlide!$A$7),($G51+BG$3),((RiskSlide!$A$10)/260),$C51,$B51,RiskSlide!$H80)</f>
        <v>6851.2132012766187</v>
      </c>
      <c r="BH51">
        <f>PnL(($D$7*(1+BH$2)),$E51,(RiskSlide!$A$7),($G51+BH$3),((RiskSlide!$A$10)/260),$C51,$B51,RiskSlide!$H80)</f>
        <v>7537.474284467442</v>
      </c>
      <c r="BI51">
        <f>PnL(($D$7*(1+BI$2)),$E51,(RiskSlide!$A$7),($G51+BI$3),((RiskSlide!$A$10)/260),$C51,$B51,RiskSlide!$H80)</f>
        <v>8223.7138143661359</v>
      </c>
      <c r="BJ51">
        <f>PnL(($D$7*(1+BJ$2)),$E51,(RiskSlide!$A$7),($G51+BJ$3),((RiskSlide!$A$10)/260),$C51,$B51,RiskSlide!$H80)</f>
        <v>8909.9288374414009</v>
      </c>
      <c r="BK51">
        <f>PnL(($D$7*(1+BK$2)),$E51,(RiskSlide!$A$7),($G51+BK$3),((RiskSlide!$A$10)/260),$C51,$B51,RiskSlide!$H80)</f>
        <v>14398.176951636413</v>
      </c>
      <c r="BL51">
        <f>PnL(($D$7*(1+BL$2)),$E51,(RiskSlide!$A$7),($G51+BL$3),((RiskSlide!$A$10)/260),$C51,$B51,RiskSlide!$H80)</f>
        <v>21243.086100232467</v>
      </c>
      <c r="BM51">
        <f>PnL(($D$7*(1+BM$2)),$E51,(RiskSlide!$A$7),($G51+BM$3),((RiskSlide!$A$10)/260),$C51,$B51,RiskSlide!$H80)</f>
        <v>67.656392783169395</v>
      </c>
      <c r="BN51">
        <f>PnL(($D$7*(1+BN$2)),$E51,(RiskSlide!$A$7),($G51+BN$3),((RiskSlide!$A$10)/260),$C51,$B51,RiskSlide!$H80)</f>
        <v>6792.9473449503521</v>
      </c>
      <c r="BO51">
        <f>PnL(($D$7*(1+BO$2)),$E51,(RiskSlide!$A$7),($G51+BO$3),((RiskSlide!$A$10)/260),$C51,$B51,RiskSlide!$H80)</f>
        <v>12094.670239444889</v>
      </c>
      <c r="BP51">
        <f>PnL(($D$7*(1+BP$2)),$E51,(RiskSlide!$A$7),($G51+BP$3),((RiskSlide!$A$10)/260),$C51,$B51,RiskSlide!$H80)</f>
        <v>12749.137428284297</v>
      </c>
      <c r="BQ51">
        <f>PnL(($D$7*(1+BQ$2)),$E51,(RiskSlide!$A$7),($G51+BQ$3),((RiskSlide!$A$10)/260),$C51,$B51,RiskSlide!$H80)</f>
        <v>13401.094270207779</v>
      </c>
      <c r="BR51">
        <f>PnL(($D$7*(1+BR$2)),$E51,(RiskSlide!$A$7),($G51+BR$3),((RiskSlide!$A$10)/260),$C51,$B51,RiskSlide!$H80)</f>
        <v>14050.252851985959</v>
      </c>
      <c r="BS51">
        <f>PnL(($D$7*(1+BS$2)),$E51,(RiskSlide!$A$7),($G51+BS$3),((RiskSlide!$A$10)/260),$C51,$B51,RiskSlide!$H80)</f>
        <v>14696.280096819954</v>
      </c>
      <c r="BT51">
        <f>PnL(($D$7*(1+BT$2)),$E51,(RiskSlide!$A$7),($G51+BT$3),((RiskSlide!$A$10)/260),$C51,$B51,RiskSlide!$H80)</f>
        <v>19686.96952689924</v>
      </c>
      <c r="BU51">
        <f>PnL(($D$7*(1+BU$2)),$E51,(RiskSlide!$A$7),($G51+BU$3),((RiskSlide!$A$10)/260),$C51,$B51,RiskSlide!$H80)</f>
        <v>24476.002320039846</v>
      </c>
      <c r="BV51">
        <f>PnL(($D$7*(1+BV$2)),$E51,(RiskSlide!$A$7),($G51+BV$3),((RiskSlide!$A$10)/260),$C51,$B51,RiskSlide!$H80)</f>
        <v>22709.024688801153</v>
      </c>
      <c r="BW51">
        <f>PnL(($D$7*(1+BW$2)),$E51,(RiskSlide!$A$7),($G51+BW$3),((RiskSlide!$A$10)/260),$C51,$B51,RiskSlide!$H80)</f>
        <v>24269.689636506318</v>
      </c>
      <c r="BX51">
        <f>PnL(($D$7*(1+BX$2)),$E51,(RiskSlide!$A$7),($G51+BX$3),((RiskSlide!$A$10)/260),$C51,$B51,RiskSlide!$H80)</f>
        <v>24759.988425443542</v>
      </c>
      <c r="BY51">
        <f>PnL(($D$7*(1+BY$2)),$E51,(RiskSlide!$A$7),($G51+BY$3),((RiskSlide!$A$10)/260),$C51,$B51,RiskSlide!$H80)</f>
        <v>24785.200608229621</v>
      </c>
      <c r="BZ51">
        <f>PnL(($D$7*(1+BZ$2)),$E51,(RiskSlide!$A$7),($G51+BZ$3),((RiskSlide!$A$10)/260),$C51,$B51,RiskSlide!$H80)</f>
        <v>24804.763595396013</v>
      </c>
      <c r="CA51">
        <f>PnL(($D$7*(1+CA$2)),$E51,(RiskSlide!$A$7),($G51+CA$3),((RiskSlide!$A$10)/260),$C51,$B51,RiskSlide!$H80)</f>
        <v>24819.492828420185</v>
      </c>
      <c r="CB51">
        <f>PnL(($D$7*(1+CB$2)),$E51,(RiskSlide!$A$7),($G51+CB$3),((RiskSlide!$A$10)/260),$C51,$B51,RiskSlide!$H80)</f>
        <v>24830.200535943917</v>
      </c>
      <c r="CC51">
        <f>PnL(($D$7*(1+CC$2)),$E51,(RiskSlide!$A$7),($G51+CC$3),((RiskSlide!$A$10)/260),$C51,$B51,RiskSlide!$H80)</f>
        <v>24849.33140653864</v>
      </c>
      <c r="CD51">
        <f>PnL(($D$7*(1+CD$2)),$E51,(RiskSlide!$A$7),($G51+CD$3),((RiskSlide!$A$10)/260),$C51,$B51,RiskSlide!$H80)</f>
        <v>24849.361509957362</v>
      </c>
      <c r="CE51">
        <f>PnL(($D$7*(1+CE$2)),$E51,(RiskSlide!$A$7),($G51+CE$3),((RiskSlide!$A$10)/260),$C51,$B51,RiskSlide!$H80)</f>
        <v>24832.192421296546</v>
      </c>
      <c r="CF51">
        <f>PnL(($D$7*(1+CF$2)),$E51,(RiskSlide!$A$7),($G51+CF$3),((RiskSlide!$A$10)/260),$C51,$B51,RiskSlide!$H80)</f>
        <v>24848.983874897742</v>
      </c>
      <c r="CG51">
        <f>PnL(($D$7*(1+CG$2)),$E51,(RiskSlide!$A$7),($G51+CG$3),((RiskSlide!$A$10)/260),$C51,$B51,RiskSlide!$H80)</f>
        <v>24849.360577536649</v>
      </c>
      <c r="CH51">
        <f>PnL(($D$7*(1+CH$2)),$E51,(RiskSlide!$A$7),($G51+CH$3),((RiskSlide!$A$10)/260),$C51,$B51,RiskSlide!$H80)</f>
        <v>24849.361203769757</v>
      </c>
      <c r="CI51">
        <f>PnL(($D$7*(1+CI$2)),$E51,(RiskSlide!$A$7),($G51+CI$3),((RiskSlide!$A$10)/260),$C51,$B51,RiskSlide!$H80)</f>
        <v>24849.361420987934</v>
      </c>
      <c r="CJ51">
        <f>PnL(($D$7*(1+CJ$2)),$E51,(RiskSlide!$A$7),($G51+CJ$3),((RiskSlide!$A$10)/260),$C51,$B51,RiskSlide!$H80)</f>
        <v>24849.361487522488</v>
      </c>
      <c r="CK51">
        <f>PnL(($D$7*(1+CK$2)),$E51,(RiskSlide!$A$7),($G51+CK$3),((RiskSlide!$A$10)/260),$C51,$B51,RiskSlide!$H80)</f>
        <v>24849.361505162033</v>
      </c>
      <c r="CL51">
        <f>PnL(($D$7*(1+CL$2)),$E51,(RiskSlide!$A$7),($G51+CL$3),((RiskSlide!$A$10)/260),$C51,$B51,RiskSlide!$H80)</f>
        <v>24849.361509957362</v>
      </c>
      <c r="CM51">
        <f>PnL(($D$7*(1+CM$2)),$E51,(RiskSlide!$A$7),($G51+CM$3),((RiskSlide!$A$10)/260),$C51,$B51,RiskSlide!$H80)</f>
        <v>24849.361509957362</v>
      </c>
    </row>
    <row r="52" spans="1:91" x14ac:dyDescent="0.25">
      <c r="A52" t="s">
        <v>47</v>
      </c>
      <c r="B52">
        <v>32</v>
      </c>
      <c r="C52">
        <v>1</v>
      </c>
      <c r="E52">
        <v>1795</v>
      </c>
      <c r="F52">
        <v>3.5000000000000001E-3</v>
      </c>
      <c r="G52">
        <v>0.128355</v>
      </c>
      <c r="K52">
        <f>PnL(($D$7*(1+K$2)),$E52,(RiskSlide!$A$7),($G52+K$3),((RiskSlide!$A$10)/260),$C52,$B52,RiskSlide!$H81)</f>
        <v>-9612.6788048569942</v>
      </c>
      <c r="L52">
        <f>PnL(($D$7*(1+L$2)),$E52,(RiskSlide!$A$7),($G52+L$3),((RiskSlide!$A$10)/260),$C52,$B52,RiskSlide!$H81)</f>
        <v>-9613.2840857423525</v>
      </c>
      <c r="M52">
        <f>PnL(($D$7*(1+M$2)),$E52,(RiskSlide!$A$7),($G52+M$3),((RiskSlide!$A$10)/260),$C52,$B52,RiskSlide!$H81)</f>
        <v>-9613.2860343779375</v>
      </c>
      <c r="N52">
        <f>PnL(($D$7*(1+N$2)),$E52,(RiskSlide!$A$7),($G52+N$3),((RiskSlide!$A$10)/260),$C52,$B52,RiskSlide!$H81)</f>
        <v>-9613.2860345245554</v>
      </c>
      <c r="O52">
        <f>PnL(($D$7*(1+O$2)),$E52,(RiskSlide!$A$7),($G52+O$3),((RiskSlide!$A$10)/260),$C52,$B52,RiskSlide!$H81)</f>
        <v>-9613.2860345509489</v>
      </c>
      <c r="P52">
        <f>PnL(($D$7*(1+P$2)),$E52,(RiskSlide!$A$7),($G52+P$3),((RiskSlide!$A$10)/260),$C52,$B52,RiskSlide!$H81)</f>
        <v>-9613.2860345548215</v>
      </c>
      <c r="Q52">
        <f>PnL(($D$7*(1+Q$2)),$E52,(RiskSlide!$A$7),($G52+Q$3),((RiskSlide!$A$10)/260),$C52,$B52,RiskSlide!$H81)</f>
        <v>-9613.2860345552708</v>
      </c>
      <c r="R52">
        <f>PnL(($D$7*(1+R$2)),$E52,(RiskSlide!$A$7),($G52+R$3),((RiskSlide!$A$10)/260),$C52,$B52,RiskSlide!$H81)</f>
        <v>-9613.2860345553127</v>
      </c>
      <c r="S52">
        <f>PnL(($D$7*(1+S$2)),$E52,(RiskSlide!$A$7),($G52+S$3),((RiskSlide!$A$10)/260),$C52,$B52,RiskSlide!$H81)</f>
        <v>-9613.2860345553127</v>
      </c>
      <c r="T52">
        <f>PnL(($D$7*(1+T$2)),$E52,(RiskSlide!$A$7),($G52+T$3),((RiskSlide!$A$10)/260),$C52,$B52,RiskSlide!$H81)</f>
        <v>-9056.0848235271696</v>
      </c>
      <c r="U52">
        <f>PnL(($D$7*(1+U$2)),$E52,(RiskSlide!$A$7),($G52+U$3),((RiskSlide!$A$10)/260),$C52,$B52,RiskSlide!$H81)</f>
        <v>-9535.9298727509322</v>
      </c>
      <c r="V52">
        <f>PnL(($D$7*(1+V$2)),$E52,(RiskSlide!$A$7),($G52+V$3),((RiskSlide!$A$10)/260),$C52,$B52,RiskSlide!$H81)</f>
        <v>-9609.3583433798176</v>
      </c>
      <c r="W52">
        <f>PnL(($D$7*(1+W$2)),$E52,(RiskSlide!$A$7),($G52+W$3),((RiskSlide!$A$10)/260),$C52,$B52,RiskSlide!$H81)</f>
        <v>-9611.0050653375347</v>
      </c>
      <c r="X52">
        <f>PnL(($D$7*(1+X$2)),$E52,(RiskSlide!$A$7),($G52+X$3),((RiskSlide!$A$10)/260),$C52,$B52,RiskSlide!$H81)</f>
        <v>-9612.0353258969062</v>
      </c>
      <c r="Y52">
        <f>PnL(($D$7*(1+Y$2)),$E52,(RiskSlide!$A$7),($G52+Y$3),((RiskSlide!$A$10)/260),$C52,$B52,RiskSlide!$H81)</f>
        <v>-9612.6444027985999</v>
      </c>
      <c r="Z52">
        <f>PnL(($D$7*(1+Z$2)),$E52,(RiskSlide!$A$7),($G52+Z$3),((RiskSlide!$A$10)/260),$C52,$B52,RiskSlide!$H81)</f>
        <v>-9612.9814505302056</v>
      </c>
      <c r="AA52">
        <f>PnL(($D$7*(1+AA$2)),$E52,(RiskSlide!$A$7),($G52+AA$3),((RiskSlide!$A$10)/260),$C52,$B52,RiskSlide!$H81)</f>
        <v>-9613.2860310099095</v>
      </c>
      <c r="AB52">
        <f>PnL(($D$7*(1+AB$2)),$E52,(RiskSlide!$A$7),($G52+AB$3),((RiskSlide!$A$10)/260),$C52,$B52,RiskSlide!$H81)</f>
        <v>-9613.2860345553127</v>
      </c>
      <c r="AC52">
        <f>PnL(($D$7*(1+AC$2)),$E52,(RiskSlide!$A$7),($G52+AC$3),((RiskSlide!$A$10)/260),$C52,$B52,RiskSlide!$H81)</f>
        <v>3716.9439537622566</v>
      </c>
      <c r="AD52">
        <f>PnL(($D$7*(1+AD$2)),$E52,(RiskSlide!$A$7),($G52+AD$3),((RiskSlide!$A$10)/260),$C52,$B52,RiskSlide!$H81)</f>
        <v>-1826.6703174906979</v>
      </c>
      <c r="AE52">
        <f>PnL(($D$7*(1+AE$2)),$E52,(RiskSlide!$A$7),($G52+AE$3),((RiskSlide!$A$10)/260),$C52,$B52,RiskSlide!$H81)</f>
        <v>-5624.7337961506673</v>
      </c>
      <c r="AF52">
        <f>PnL(($D$7*(1+AF$2)),$E52,(RiskSlide!$A$7),($G52+AF$3),((RiskSlide!$A$10)/260),$C52,$B52,RiskSlide!$H81)</f>
        <v>-6039.4137088836032</v>
      </c>
      <c r="AG52">
        <f>PnL(($D$7*(1+AG$2)),$E52,(RiskSlide!$A$7),($G52+AG$3),((RiskSlide!$A$10)/260),$C52,$B52,RiskSlide!$H81)</f>
        <v>-6437.3310449611836</v>
      </c>
      <c r="AH52">
        <f>PnL(($D$7*(1+AH$2)),$E52,(RiskSlide!$A$7),($G52+AH$3),((RiskSlide!$A$10)/260),$C52,$B52,RiskSlide!$H81)</f>
        <v>-6817.2533057517285</v>
      </c>
      <c r="AI52">
        <f>PnL(($D$7*(1+AI$2)),$E52,(RiskSlide!$A$7),($G52+AI$3),((RiskSlide!$A$10)/260),$C52,$B52,RiskSlide!$H81)</f>
        <v>-7177.8743168853453</v>
      </c>
      <c r="AJ52">
        <f>PnL(($D$7*(1+AJ$2)),$E52,(RiskSlide!$A$7),($G52+AJ$3),((RiskSlide!$A$10)/260),$C52,$B52,RiskSlide!$H81)</f>
        <v>-9202.6827394404099</v>
      </c>
      <c r="AK52">
        <f>PnL(($D$7*(1+AK$2)),$E52,(RiskSlide!$A$7),($G52+AK$3),((RiskSlide!$A$10)/260),$C52,$B52,RiskSlide!$H81)</f>
        <v>-9613.2852629454428</v>
      </c>
      <c r="AL52">
        <f>PnL(($D$7*(1+AL$2)),$E52,(RiskSlide!$A$7),($G52+AL$3),((RiskSlide!$A$10)/260),$C52,$B52,RiskSlide!$H81)</f>
        <v>8072.5600902409496</v>
      </c>
      <c r="AM52">
        <f>PnL(($D$7*(1+AM$2)),$E52,(RiskSlide!$A$7),($G52+AM$3),((RiskSlide!$A$10)/260),$C52,$B52,RiskSlide!$H81)</f>
        <v>1814.1909465814024</v>
      </c>
      <c r="AN52">
        <f>PnL(($D$7*(1+AN$2)),$E52,(RiskSlide!$A$7),($G52+AN$3),((RiskSlide!$A$10)/260),$C52,$B52,RiskSlide!$H81)</f>
        <v>-2815.4497137020371</v>
      </c>
      <c r="AO52">
        <f>PnL(($D$7*(1+AO$2)),$E52,(RiskSlide!$A$7),($G52+AO$3),((RiskSlide!$A$10)/260),$C52,$B52,RiskSlide!$H81)</f>
        <v>-3356.2716509751226</v>
      </c>
      <c r="AP52">
        <f>PnL(($D$7*(1+AP$2)),$E52,(RiskSlide!$A$7),($G52+AP$3),((RiskSlide!$A$10)/260),$C52,$B52,RiskSlide!$H81)</f>
        <v>-3885.9734702911737</v>
      </c>
      <c r="AQ52">
        <f>PnL(($D$7*(1+AQ$2)),$E52,(RiskSlide!$A$7),($G52+AQ$3),((RiskSlide!$A$10)/260),$C52,$B52,RiskSlide!$H81)</f>
        <v>-4403.4749550790366</v>
      </c>
      <c r="AR52">
        <f>PnL(($D$7*(1+AR$2)),$E52,(RiskSlide!$A$7),($G52+AR$3),((RiskSlide!$A$10)/260),$C52,$B52,RiskSlide!$H81)</f>
        <v>-4907.5665323253816</v>
      </c>
      <c r="AS52">
        <f>PnL(($D$7*(1+AS$2)),$E52,(RiskSlide!$A$7),($G52+AS$3),((RiskSlide!$A$10)/260),$C52,$B52,RiskSlide!$H81)</f>
        <v>-8256.8830591580081</v>
      </c>
      <c r="AT52">
        <f>PnL(($D$7*(1+AT$2)),$E52,(RiskSlide!$A$7),($G52+AT$3),((RiskSlide!$A$10)/260),$C52,$B52,RiskSlide!$H81)</f>
        <v>-9612.696614492892</v>
      </c>
      <c r="AU52">
        <f>PnL(($D$7*(1+AU$2)),$E52,(RiskSlide!$A$7),($G52+AU$3),((RiskSlide!$A$10)/260),$C52,$B52,RiskSlide!$H81)</f>
        <v>13349.750342248808</v>
      </c>
      <c r="AV52">
        <f>PnL(($D$7*(1+AV$2)),$E52,(RiskSlide!$A$7),($G52+AV$3),((RiskSlide!$A$10)/260),$C52,$B52,RiskSlide!$H81)</f>
        <v>6564.9141458572558</v>
      </c>
      <c r="AW52">
        <f>PnL(($D$7*(1+AW$2)),$E52,(RiskSlide!$A$7),($G52+AW$3),((RiskSlide!$A$10)/260),$C52,$B52,RiskSlide!$H81)</f>
        <v>1284.520352420077</v>
      </c>
      <c r="AX52">
        <f>PnL(($D$7*(1+AX$2)),$E52,(RiskSlide!$A$7),($G52+AX$3),((RiskSlide!$A$10)/260),$C52,$B52,RiskSlide!$H81)</f>
        <v>639.91689316699194</v>
      </c>
      <c r="AY52">
        <f>PnL(($D$7*(1+AY$2)),$E52,(RiskSlide!$A$7),($G52+AY$3),((RiskSlide!$A$10)/260),$C52,$B52,RiskSlide!$H81)</f>
        <v>0</v>
      </c>
      <c r="AZ52">
        <f>PnL(($D$7*(1+AZ$2)),$E52,(RiskSlide!$A$7),($G52+AZ$3),((RiskSlide!$A$10)/260),$C52,$B52,RiskSlide!$H81)</f>
        <v>-634.70076789562881</v>
      </c>
      <c r="BA52">
        <f>PnL(($D$7*(1+BA$2)),$E52,(RiskSlide!$A$7),($G52+BA$3),((RiskSlide!$A$10)/260),$C52,$B52,RiskSlide!$H81)</f>
        <v>-1263.5750801628092</v>
      </c>
      <c r="BB52">
        <f>PnL(($D$7*(1+BB$2)),$E52,(RiskSlide!$A$7),($G52+BB$3),((RiskSlide!$A$10)/260),$C52,$B52,RiskSlide!$H81)</f>
        <v>-5968.498084080602</v>
      </c>
      <c r="BC52">
        <f>PnL(($D$7*(1+BC$2)),$E52,(RiskSlide!$A$7),($G52+BC$3),((RiskSlide!$A$10)/260),$C52,$B52,RiskSlide!$H81)</f>
        <v>-9543.3188629683737</v>
      </c>
      <c r="BD52">
        <f>PnL(($D$7*(1+BD$2)),$E52,(RiskSlide!$A$7),($G52+BD$3),((RiskSlide!$A$10)/260),$C52,$B52,RiskSlide!$H81)</f>
        <v>19599.130705046446</v>
      </c>
      <c r="BE52">
        <f>PnL(($D$7*(1+BE$2)),$E52,(RiskSlide!$A$7),($G52+BE$3),((RiskSlide!$A$10)/260),$C52,$B52,RiskSlide!$H81)</f>
        <v>12532.596797235601</v>
      </c>
      <c r="BF52">
        <f>PnL(($D$7*(1+BF$2)),$E52,(RiskSlide!$A$7),($G52+BF$3),((RiskSlide!$A$10)/260),$C52,$B52,RiskSlide!$H81)</f>
        <v>6894.771705376661</v>
      </c>
      <c r="BG52">
        <f>PnL(($D$7*(1+BG$2)),$E52,(RiskSlide!$A$7),($G52+BG$3),((RiskSlide!$A$10)/260),$C52,$B52,RiskSlide!$H81)</f>
        <v>6191.6981512084021</v>
      </c>
      <c r="BH52">
        <f>PnL(($D$7*(1+BH$2)),$E52,(RiskSlide!$A$7),($G52+BH$3),((RiskSlide!$A$10)/260),$C52,$B52,RiskSlide!$H81)</f>
        <v>5489.1356284095309</v>
      </c>
      <c r="BI52">
        <f>PnL(($D$7*(1+BI$2)),$E52,(RiskSlide!$A$7),($G52+BI$3),((RiskSlide!$A$10)/260),$C52,$B52,RiskSlide!$H81)</f>
        <v>4787.1461223574443</v>
      </c>
      <c r="BJ52">
        <f>PnL(($D$7*(1+BJ$2)),$E52,(RiskSlide!$A$7),($G52+BJ$3),((RiskSlide!$A$10)/260),$C52,$B52,RiskSlide!$H81)</f>
        <v>4085.8019816907472</v>
      </c>
      <c r="BK52">
        <f>PnL(($D$7*(1+BK$2)),$E52,(RiskSlide!$A$7),($G52+BK$3),((RiskSlide!$A$10)/260),$C52,$B52,RiskSlide!$H81)</f>
        <v>-1487.0475104946308</v>
      </c>
      <c r="BL52">
        <f>PnL(($D$7*(1+BL$2)),$E52,(RiskSlide!$A$7),($G52+BL$3),((RiskSlide!$A$10)/260),$C52,$B52,RiskSlide!$H81)</f>
        <v>-8060.3957399323008</v>
      </c>
      <c r="BM52">
        <f>PnL(($D$7*(1+BM$2)),$E52,(RiskSlide!$A$7),($G52+BM$3),((RiskSlide!$A$10)/260),$C52,$B52,RiskSlide!$H81)</f>
        <v>26842.605313252534</v>
      </c>
      <c r="BN52">
        <f>PnL(($D$7*(1+BN$2)),$E52,(RiskSlide!$A$7),($G52+BN$3),((RiskSlide!$A$10)/260),$C52,$B52,RiskSlide!$H81)</f>
        <v>19768.355254882044</v>
      </c>
      <c r="BO52">
        <f>PnL(($D$7*(1+BO$2)),$E52,(RiskSlide!$A$7),($G52+BO$3),((RiskSlide!$A$10)/260),$C52,$B52,RiskSlide!$H81)</f>
        <v>14129.474265222416</v>
      </c>
      <c r="BP52">
        <f>PnL(($D$7*(1+BP$2)),$E52,(RiskSlide!$A$7),($G52+BP$3),((RiskSlide!$A$10)/260),$C52,$B52,RiskSlide!$H81)</f>
        <v>13426.813570087688</v>
      </c>
      <c r="BQ52">
        <f>PnL(($D$7*(1+BQ$2)),$E52,(RiskSlide!$A$7),($G52+BQ$3),((RiskSlide!$A$10)/260),$C52,$B52,RiskSlide!$H81)</f>
        <v>12724.831458492554</v>
      </c>
      <c r="BR52">
        <f>PnL(($D$7*(1+BR$2)),$E52,(RiskSlide!$A$7),($G52+BR$3),((RiskSlide!$A$10)/260),$C52,$B52,RiskSlide!$H81)</f>
        <v>12023.609951643084</v>
      </c>
      <c r="BS52">
        <f>PnL(($D$7*(1+BS$2)),$E52,(RiskSlide!$A$7),($G52+BS$3),((RiskSlide!$A$10)/260),$C52,$B52,RiskSlide!$H81)</f>
        <v>11323.244744079602</v>
      </c>
      <c r="BT52">
        <f>PnL(($D$7*(1+BT$2)),$E52,(RiskSlide!$A$7),($G52+BT$3),((RiskSlide!$A$10)/260),$C52,$B52,RiskSlide!$H81)</f>
        <v>5770.51297842645</v>
      </c>
      <c r="BU52">
        <f>PnL(($D$7*(1+BU$2)),$E52,(RiskSlide!$A$7),($G52+BU$3),((RiskSlide!$A$10)/260),$C52,$B52,RiskSlide!$H81)</f>
        <v>-658.7436817759226</v>
      </c>
      <c r="BV52">
        <f>PnL(($D$7*(1+BV$2)),$E52,(RiskSlide!$A$7),($G52+BV$3),((RiskSlide!$A$10)/260),$C52,$B52,RiskSlide!$H81)</f>
        <v>114700.25503184934</v>
      </c>
      <c r="BW52">
        <f>PnL(($D$7*(1+BW$2)),$E52,(RiskSlide!$A$7),($G52+BW$3),((RiskSlide!$A$10)/260),$C52,$B52,RiskSlide!$H81)</f>
        <v>112829.49483551437</v>
      </c>
      <c r="BX52">
        <f>PnL(($D$7*(1+BX$2)),$E52,(RiskSlide!$A$7),($G52+BX$3),((RiskSlide!$A$10)/260),$C52,$B52,RiskSlide!$H81)</f>
        <v>112195.74773368167</v>
      </c>
      <c r="BY52">
        <f>PnL(($D$7*(1+BY$2)),$E52,(RiskSlide!$A$7),($G52+BY$3),((RiskSlide!$A$10)/260),$C52,$B52,RiskSlide!$H81)</f>
        <v>112160.74032930718</v>
      </c>
      <c r="BZ52">
        <f>PnL(($D$7*(1+BZ$2)),$E52,(RiskSlide!$A$7),($G52+BZ$3),((RiskSlide!$A$10)/260),$C52,$B52,RiskSlide!$H81)</f>
        <v>112133.0863802892</v>
      </c>
      <c r="CA52">
        <f>PnL(($D$7*(1+CA$2)),$E52,(RiskSlide!$A$7),($G52+CA$3),((RiskSlide!$A$10)/260),$C52,$B52,RiskSlide!$H81)</f>
        <v>112111.85667087065</v>
      </c>
      <c r="CB52">
        <f>PnL(($D$7*(1+CB$2)),$E52,(RiskSlide!$A$7),($G52+CB$3),((RiskSlide!$A$10)/260),$C52,$B52,RiskSlide!$H81)</f>
        <v>112096.09373355907</v>
      </c>
      <c r="CC52">
        <f>PnL(($D$7*(1+CC$2)),$E52,(RiskSlide!$A$7),($G52+CC$3),((RiskSlide!$A$10)/260),$C52,$B52,RiskSlide!$H81)</f>
        <v>112066.21551724765</v>
      </c>
      <c r="CD52">
        <f>PnL(($D$7*(1+CD$2)),$E52,(RiskSlide!$A$7),($G52+CD$3),((RiskSlide!$A$10)/260),$C52,$B52,RiskSlide!$H81)</f>
        <v>112066.15595581516</v>
      </c>
      <c r="CE52">
        <f>PnL(($D$7*(1+CE$2)),$E52,(RiskSlide!$A$7),($G52+CE$3),((RiskSlide!$A$10)/260),$C52,$B52,RiskSlide!$H81)</f>
        <v>254637.06129088768</v>
      </c>
      <c r="CF52">
        <f>PnL(($D$7*(1+CF$2)),$E52,(RiskSlide!$A$7),($G52+CF$3),((RiskSlide!$A$10)/260),$C52,$B52,RiskSlide!$H81)</f>
        <v>254615.47725308393</v>
      </c>
      <c r="CG52">
        <f>PnL(($D$7*(1+CG$2)),$E52,(RiskSlide!$A$7),($G52+CG$3),((RiskSlide!$A$10)/260),$C52,$B52,RiskSlide!$H81)</f>
        <v>254614.95732418424</v>
      </c>
      <c r="CH52">
        <f>PnL(($D$7*(1+CH$2)),$E52,(RiskSlide!$A$7),($G52+CH$3),((RiskSlide!$A$10)/260),$C52,$B52,RiskSlide!$H81)</f>
        <v>254614.95640736775</v>
      </c>
      <c r="CI52">
        <f>PnL(($D$7*(1+CI$2)),$E52,(RiskSlide!$A$7),($G52+CI$3),((RiskSlide!$A$10)/260),$C52,$B52,RiskSlide!$H81)</f>
        <v>254614.95608743699</v>
      </c>
      <c r="CJ52">
        <f>PnL(($D$7*(1+CJ$2)),$E52,(RiskSlide!$A$7),($G52+CJ$3),((RiskSlide!$A$10)/260),$C52,$B52,RiskSlide!$H81)</f>
        <v>254614.95598902929</v>
      </c>
      <c r="CK52">
        <f>PnL(($D$7*(1+CK$2)),$E52,(RiskSlide!$A$7),($G52+CK$3),((RiskSlide!$A$10)/260),$C52,$B52,RiskSlide!$H81)</f>
        <v>254614.95596289588</v>
      </c>
      <c r="CL52">
        <f>PnL(($D$7*(1+CL$2)),$E52,(RiskSlide!$A$7),($G52+CL$3),((RiskSlide!$A$10)/260),$C52,$B52,RiskSlide!$H81)</f>
        <v>254614.95595581527</v>
      </c>
      <c r="CM52">
        <f>PnL(($D$7*(1+CM$2)),$E52,(RiskSlide!$A$7),($G52+CM$3),((RiskSlide!$A$10)/260),$C52,$B52,RiskSlide!$H81)</f>
        <v>254614.95595581527</v>
      </c>
    </row>
    <row r="53" spans="1:91" x14ac:dyDescent="0.25">
      <c r="A53" t="s">
        <v>48</v>
      </c>
      <c r="B53">
        <v>44</v>
      </c>
      <c r="C53">
        <v>0</v>
      </c>
      <c r="E53">
        <v>1795</v>
      </c>
      <c r="F53">
        <v>3.5000000000000001E-3</v>
      </c>
      <c r="G53">
        <v>0.128355</v>
      </c>
      <c r="K53">
        <f>PnL(($D$7*(1+K$2)),$E53,(RiskSlide!$A$7),($G53+K$3),((RiskSlide!$A$10)/260),$C53,$B53,RiskSlide!$H82)</f>
        <v>378791.76664332114</v>
      </c>
      <c r="L53">
        <f>PnL(($D$7*(1+L$2)),$E53,(RiskSlide!$A$7),($G53+L$3),((RiskSlide!$A$10)/260),$C53,$B53,RiskSlide!$H82)</f>
        <v>378790.93438210373</v>
      </c>
      <c r="M53">
        <f>PnL(($D$7*(1+M$2)),$E53,(RiskSlide!$A$7),($G53+M$3),((RiskSlide!$A$10)/260),$C53,$B53,RiskSlide!$H82)</f>
        <v>378790.93170273013</v>
      </c>
      <c r="N53">
        <f>PnL(($D$7*(1+N$2)),$E53,(RiskSlide!$A$7),($G53+N$3),((RiskSlide!$A$10)/260),$C53,$B53,RiskSlide!$H82)</f>
        <v>378790.93170252803</v>
      </c>
      <c r="O53">
        <f>PnL(($D$7*(1+O$2)),$E53,(RiskSlide!$A$7),($G53+O$3),((RiskSlide!$A$10)/260),$C53,$B53,RiskSlide!$H82)</f>
        <v>378790.931702492</v>
      </c>
      <c r="P53">
        <f>PnL(($D$7*(1+P$2)),$E53,(RiskSlide!$A$7),($G53+P$3),((RiskSlide!$A$10)/260),$C53,$B53,RiskSlide!$H82)</f>
        <v>378790.93170248653</v>
      </c>
      <c r="Q53">
        <f>PnL(($D$7*(1+Q$2)),$E53,(RiskSlide!$A$7),($G53+Q$3),((RiskSlide!$A$10)/260),$C53,$B53,RiskSlide!$H82)</f>
        <v>378790.93170248653</v>
      </c>
      <c r="R53">
        <f>PnL(($D$7*(1+R$2)),$E53,(RiskSlide!$A$7),($G53+R$3),((RiskSlide!$A$10)/260),$C53,$B53,RiskSlide!$H82)</f>
        <v>378790.93170248601</v>
      </c>
      <c r="S53">
        <f>PnL(($D$7*(1+S$2)),$E53,(RiskSlide!$A$7),($G53+S$3),((RiskSlide!$A$10)/260),$C53,$B53,RiskSlide!$H82)</f>
        <v>378790.93170248601</v>
      </c>
      <c r="T53">
        <f>PnL(($D$7*(1+T$2)),$E53,(RiskSlide!$A$7),($G53+T$3),((RiskSlide!$A$10)/260),$C53,$B53,RiskSlide!$H82)</f>
        <v>183552.48336765016</v>
      </c>
      <c r="U53">
        <f>PnL(($D$7*(1+U$2)),$E53,(RiskSlide!$A$7),($G53+U$3),((RiskSlide!$A$10)/260),$C53,$B53,RiskSlide!$H82)</f>
        <v>182892.69642496735</v>
      </c>
      <c r="V53">
        <f>PnL(($D$7*(1+V$2)),$E53,(RiskSlide!$A$7),($G53+V$3),((RiskSlide!$A$10)/260),$C53,$B53,RiskSlide!$H82)</f>
        <v>182791.73227785196</v>
      </c>
      <c r="W53">
        <f>PnL(($D$7*(1+W$2)),$E53,(RiskSlide!$A$7),($G53+W$3),((RiskSlide!$A$10)/260),$C53,$B53,RiskSlide!$H82)</f>
        <v>182789.46803516036</v>
      </c>
      <c r="X53">
        <f>PnL(($D$7*(1+X$2)),$E53,(RiskSlide!$A$7),($G53+X$3),((RiskSlide!$A$10)/260),$C53,$B53,RiskSlide!$H82)</f>
        <v>182788.05142689156</v>
      </c>
      <c r="Y53">
        <f>PnL(($D$7*(1+Y$2)),$E53,(RiskSlide!$A$7),($G53+Y$3),((RiskSlide!$A$10)/260),$C53,$B53,RiskSlide!$H82)</f>
        <v>182787.21394615178</v>
      </c>
      <c r="Z53">
        <f>PnL(($D$7*(1+Z$2)),$E53,(RiskSlide!$A$7),($G53+Z$3),((RiskSlide!$A$10)/260),$C53,$B53,RiskSlide!$H82)</f>
        <v>182786.75050552085</v>
      </c>
      <c r="AA53">
        <f>PnL(($D$7*(1+AA$2)),$E53,(RiskSlide!$A$7),($G53+AA$3),((RiskSlide!$A$10)/260),$C53,$B53,RiskSlide!$H82)</f>
        <v>182786.33170736104</v>
      </c>
      <c r="AB53">
        <f>PnL(($D$7*(1+AB$2)),$E53,(RiskSlide!$A$7),($G53+AB$3),((RiskSlide!$A$10)/260),$C53,$B53,RiskSlide!$H82)</f>
        <v>182786.33170248635</v>
      </c>
      <c r="AC53">
        <f>PnL(($D$7*(1+AC$2)),$E53,(RiskSlide!$A$7),($G53+AC$3),((RiskSlide!$A$10)/260),$C53,$B53,RiskSlide!$H82)</f>
        <v>44311.717936423112</v>
      </c>
      <c r="AD53">
        <f>PnL(($D$7*(1+AD$2)),$E53,(RiskSlide!$A$7),($G53+AD$3),((RiskSlide!$A$10)/260),$C53,$B53,RiskSlide!$H82)</f>
        <v>36689.248313450298</v>
      </c>
      <c r="AE53">
        <f>PnL(($D$7*(1+AE$2)),$E53,(RiskSlide!$A$7),($G53+AE$3),((RiskSlide!$A$10)/260),$C53,$B53,RiskSlide!$H82)</f>
        <v>31466.91103029234</v>
      </c>
      <c r="AF53">
        <f>PnL(($D$7*(1+AF$2)),$E53,(RiskSlide!$A$7),($G53+AF$3),((RiskSlide!$A$10)/260),$C53,$B53,RiskSlide!$H82)</f>
        <v>30896.726150284805</v>
      </c>
      <c r="AG53">
        <f>PnL(($D$7*(1+AG$2)),$E53,(RiskSlide!$A$7),($G53+AG$3),((RiskSlide!$A$10)/260),$C53,$B53,RiskSlide!$H82)</f>
        <v>30349.589813178318</v>
      </c>
      <c r="AH53">
        <f>PnL(($D$7*(1+AH$2)),$E53,(RiskSlide!$A$7),($G53+AH$3),((RiskSlide!$A$10)/260),$C53,$B53,RiskSlide!$H82)</f>
        <v>29827.196704591006</v>
      </c>
      <c r="AI53">
        <f>PnL(($D$7*(1+AI$2)),$E53,(RiskSlide!$A$7),($G53+AI$3),((RiskSlide!$A$10)/260),$C53,$B53,RiskSlide!$H82)</f>
        <v>29331.34281428247</v>
      </c>
      <c r="AJ53">
        <f>PnL(($D$7*(1+AJ$2)),$E53,(RiskSlide!$A$7),($G53+AJ$3),((RiskSlide!$A$10)/260),$C53,$B53,RiskSlide!$H82)</f>
        <v>26547.231233269347</v>
      </c>
      <c r="AK53">
        <f>PnL(($D$7*(1+AK$2)),$E53,(RiskSlide!$A$7),($G53+AK$3),((RiskSlide!$A$10)/260),$C53,$B53,RiskSlide!$H82)</f>
        <v>25982.652763449369</v>
      </c>
      <c r="AL53">
        <f>PnL(($D$7*(1+AL$2)),$E53,(RiskSlide!$A$7),($G53+AL$3),((RiskSlide!$A$10)/260),$C53,$B53,RiskSlide!$H82)</f>
        <v>30700.230124081372</v>
      </c>
      <c r="AM53">
        <f>PnL(($D$7*(1+AM$2)),$E53,(RiskSlide!$A$7),($G53+AM$3),((RiskSlide!$A$10)/260),$C53,$B53,RiskSlide!$H82)</f>
        <v>22094.972551548744</v>
      </c>
      <c r="AN53">
        <f>PnL(($D$7*(1+AN$2)),$E53,(RiskSlide!$A$7),($G53+AN$3),((RiskSlide!$A$10)/260),$C53,$B53,RiskSlide!$H82)</f>
        <v>15729.216643659265</v>
      </c>
      <c r="AO53">
        <f>PnL(($D$7*(1+AO$2)),$E53,(RiskSlide!$A$7),($G53+AO$3),((RiskSlide!$A$10)/260),$C53,$B53,RiskSlide!$H82)</f>
        <v>14985.586479908898</v>
      </c>
      <c r="AP53">
        <f>PnL(($D$7*(1+AP$2)),$E53,(RiskSlide!$A$7),($G53+AP$3),((RiskSlide!$A$10)/260),$C53,$B53,RiskSlide!$H82)</f>
        <v>14257.246478349452</v>
      </c>
      <c r="AQ53">
        <f>PnL(($D$7*(1+AQ$2)),$E53,(RiskSlide!$A$7),($G53+AQ$3),((RiskSlide!$A$10)/260),$C53,$B53,RiskSlide!$H82)</f>
        <v>13545.681936766141</v>
      </c>
      <c r="AR53">
        <f>PnL(($D$7*(1+AR$2)),$E53,(RiskSlide!$A$7),($G53+AR$3),((RiskSlide!$A$10)/260),$C53,$B53,RiskSlide!$H82)</f>
        <v>12852.556018052792</v>
      </c>
      <c r="AS53">
        <f>PnL(($D$7*(1+AS$2)),$E53,(RiskSlide!$A$7),($G53+AS$3),((RiskSlide!$A$10)/260),$C53,$B53,RiskSlide!$H82)</f>
        <v>8247.2457936574301</v>
      </c>
      <c r="AT53">
        <f>PnL(($D$7*(1+AT$2)),$E53,(RiskSlide!$A$7),($G53+AT$3),((RiskSlide!$A$10)/260),$C53,$B53,RiskSlide!$H82)</f>
        <v>6383.0021550722449</v>
      </c>
      <c r="AU53">
        <f>PnL(($D$7*(1+AU$2)),$E53,(RiskSlide!$A$7),($G53+AU$3),((RiskSlide!$A$10)/260),$C53,$B53,RiskSlide!$H82)</f>
        <v>18355.906720592109</v>
      </c>
      <c r="AV53">
        <f>PnL(($D$7*(1+AV$2)),$E53,(RiskSlide!$A$7),($G53+AV$3),((RiskSlide!$A$10)/260),$C53,$B53,RiskSlide!$H82)</f>
        <v>9026.7569505537267</v>
      </c>
      <c r="AW53">
        <f>PnL(($D$7*(1+AW$2)),$E53,(RiskSlide!$A$7),($G53+AW$3),((RiskSlide!$A$10)/260),$C53,$B53,RiskSlide!$H82)</f>
        <v>1766.2154845776058</v>
      </c>
      <c r="AX53">
        <f>PnL(($D$7*(1+AX$2)),$E53,(RiskSlide!$A$7),($G53+AX$3),((RiskSlide!$A$10)/260),$C53,$B53,RiskSlide!$H82)</f>
        <v>879.88572810386358</v>
      </c>
      <c r="AY53">
        <f>PnL(($D$7*(1+AY$2)),$E53,(RiskSlide!$A$7),($G53+AY$3),((RiskSlide!$A$10)/260),$C53,$B53,RiskSlide!$H82)</f>
        <v>0</v>
      </c>
      <c r="AZ53">
        <f>PnL(($D$7*(1+AZ$2)),$E53,(RiskSlide!$A$7),($G53+AZ$3),((RiskSlide!$A$10)/260),$C53,$B53,RiskSlide!$H82)</f>
        <v>-872.71355585698984</v>
      </c>
      <c r="BA53">
        <f>PnL(($D$7*(1+BA$2)),$E53,(RiskSlide!$A$7),($G53+BA$3),((RiskSlide!$A$10)/260),$C53,$B53,RiskSlide!$H82)</f>
        <v>-1737.4157352246129</v>
      </c>
      <c r="BB53">
        <f>PnL(($D$7*(1+BB$2)),$E53,(RiskSlide!$A$7),($G53+BB$3),((RiskSlide!$A$10)/260),$C53,$B53,RiskSlide!$H82)</f>
        <v>-8206.6848656110778</v>
      </c>
      <c r="BC53">
        <f>PnL(($D$7*(1+BC$2)),$E53,(RiskSlide!$A$7),($G53+BC$3),((RiskSlide!$A$10)/260),$C53,$B53,RiskSlide!$H82)</f>
        <v>-13122.063436581811</v>
      </c>
      <c r="BD53">
        <f>PnL(($D$7*(1+BD$2)),$E53,(RiskSlide!$A$7),($G53+BD$3),((RiskSlide!$A$10)/260),$C53,$B53,RiskSlide!$H82)</f>
        <v>7348.3447194385462</v>
      </c>
      <c r="BE53">
        <f>PnL(($D$7*(1+BE$2)),$E53,(RiskSlide!$A$7),($G53+BE$3),((RiskSlide!$A$10)/260),$C53,$B53,RiskSlide!$H82)</f>
        <v>-2368.1394038011149</v>
      </c>
      <c r="BF53">
        <f>PnL(($D$7*(1+BF$2)),$E53,(RiskSlide!$A$7),($G53+BF$3),((RiskSlide!$A$10)/260),$C53,$B53,RiskSlide!$H82)</f>
        <v>-10120.148905106907</v>
      </c>
      <c r="BG53">
        <f>PnL(($D$7*(1+BG$2)),$E53,(RiskSlide!$A$7),($G53+BG$3),((RiskSlide!$A$10)/260),$C53,$B53,RiskSlide!$H82)</f>
        <v>-11086.875042088264</v>
      </c>
      <c r="BH53">
        <f>PnL(($D$7*(1+BH$2)),$E53,(RiskSlide!$A$7),($G53+BH$3),((RiskSlide!$A$10)/260),$C53,$B53,RiskSlide!$H82)</f>
        <v>-12052.898510936961</v>
      </c>
      <c r="BI53">
        <f>PnL(($D$7*(1+BI$2)),$E53,(RiskSlide!$A$7),($G53+BI$3),((RiskSlide!$A$10)/260),$C53,$B53,RiskSlide!$H82)</f>
        <v>-13018.134081759081</v>
      </c>
      <c r="BJ53">
        <f>PnL(($D$7*(1+BJ$2)),$E53,(RiskSlide!$A$7),($G53+BJ$3),((RiskSlide!$A$10)/260),$C53,$B53,RiskSlide!$H82)</f>
        <v>-13982.482275174789</v>
      </c>
      <c r="BK53">
        <f>PnL(($D$7*(1+BK$2)),$E53,(RiskSlide!$A$7),($G53+BK$3),((RiskSlide!$A$10)/260),$C53,$B53,RiskSlide!$H82)</f>
        <v>-21645.150326929936</v>
      </c>
      <c r="BL53">
        <f>PnL(($D$7*(1+BL$2)),$E53,(RiskSlide!$A$7),($G53+BL$3),((RiskSlide!$A$10)/260),$C53,$B53,RiskSlide!$H82)</f>
        <v>-30683.504142406353</v>
      </c>
      <c r="BM53">
        <f>PnL(($D$7*(1+BM$2)),$E53,(RiskSlide!$A$7),($G53+BM$3),((RiskSlide!$A$10)/260),$C53,$B53,RiskSlide!$H82)</f>
        <v>-2292.3376942783989</v>
      </c>
      <c r="BN53">
        <f>PnL(($D$7*(1+BN$2)),$E53,(RiskSlide!$A$7),($G53+BN$3),((RiskSlide!$A$10)/260),$C53,$B53,RiskSlide!$H82)</f>
        <v>-12019.431524537573</v>
      </c>
      <c r="BO53">
        <f>PnL(($D$7*(1+BO$2)),$E53,(RiskSlide!$A$7),($G53+BO$3),((RiskSlide!$A$10)/260),$C53,$B53,RiskSlide!$H82)</f>
        <v>-19772.892885320063</v>
      </c>
      <c r="BP53">
        <f>PnL(($D$7*(1+BP$2)),$E53,(RiskSlide!$A$7),($G53+BP$3),((RiskSlide!$A$10)/260),$C53,$B53,RiskSlide!$H82)</f>
        <v>-20739.051341129561</v>
      </c>
      <c r="BQ53">
        <f>PnL(($D$7*(1+BQ$2)),$E53,(RiskSlide!$A$7),($G53+BQ$3),((RiskSlide!$A$10)/260),$C53,$B53,RiskSlide!$H82)</f>
        <v>-21704.27674457337</v>
      </c>
      <c r="BR53">
        <f>PnL(($D$7*(1+BR$2)),$E53,(RiskSlide!$A$7),($G53+BR$3),((RiskSlide!$A$10)/260),$C53,$B53,RiskSlide!$H82)</f>
        <v>-22668.456316491141</v>
      </c>
      <c r="BS53">
        <f>PnL(($D$7*(1+BS$2)),$E53,(RiskSlide!$A$7),($G53+BS$3),((RiskSlide!$A$10)/260),$C53,$B53,RiskSlide!$H82)</f>
        <v>-23631.458476890679</v>
      </c>
      <c r="BT53">
        <f>PnL(($D$7*(1+BT$2)),$E53,(RiskSlide!$A$7),($G53+BT$3),((RiskSlide!$A$10)/260),$C53,$B53,RiskSlide!$H82)</f>
        <v>-31266.464654664516</v>
      </c>
      <c r="BU53">
        <f>PnL(($D$7*(1+BU$2)),$E53,(RiskSlide!$A$7),($G53+BU$3),((RiskSlide!$A$10)/260),$C53,$B53,RiskSlide!$H82)</f>
        <v>-40106.692562442149</v>
      </c>
      <c r="BV53">
        <f>PnL(($D$7*(1+BV$2)),$E53,(RiskSlide!$A$7),($G53+BV$3),((RiskSlide!$A$10)/260),$C53,$B53,RiskSlide!$H82)</f>
        <v>-38291.749331207138</v>
      </c>
      <c r="BW53">
        <f>PnL(($D$7*(1+BW$2)),$E53,(RiskSlide!$A$7),($G53+BW$3),((RiskSlide!$A$10)/260),$C53,$B53,RiskSlide!$H82)</f>
        <v>-40864.044601167894</v>
      </c>
      <c r="BX53">
        <f>PnL(($D$7*(1+BX$2)),$E53,(RiskSlide!$A$7),($G53+BX$3),((RiskSlide!$A$10)/260),$C53,$B53,RiskSlide!$H82)</f>
        <v>-41735.446866187907</v>
      </c>
      <c r="BY53">
        <f>PnL(($D$7*(1+BY$2)),$E53,(RiskSlide!$A$7),($G53+BY$3),((RiskSlide!$A$10)/260),$C53,$B53,RiskSlide!$H82)</f>
        <v>-41783.582047203592</v>
      </c>
      <c r="BZ53">
        <f>PnL(($D$7*(1+BZ$2)),$E53,(RiskSlide!$A$7),($G53+BZ$3),((RiskSlide!$A$10)/260),$C53,$B53,RiskSlide!$H82)</f>
        <v>-41821.60622710282</v>
      </c>
      <c r="CA53">
        <f>PnL(($D$7*(1+CA$2)),$E53,(RiskSlide!$A$7),($G53+CA$3),((RiskSlide!$A$10)/260),$C53,$B53,RiskSlide!$H82)</f>
        <v>-41850.797077553332</v>
      </c>
      <c r="CB53">
        <f>PnL(($D$7*(1+CB$2)),$E53,(RiskSlide!$A$7),($G53+CB$3),((RiskSlide!$A$10)/260),$C53,$B53,RiskSlide!$H82)</f>
        <v>-41872.471116357076</v>
      </c>
      <c r="CC53">
        <f>PnL(($D$7*(1+CC$2)),$E53,(RiskSlide!$A$7),($G53+CC$3),((RiskSlide!$A$10)/260),$C53,$B53,RiskSlide!$H82)</f>
        <v>-41913.553663785162</v>
      </c>
      <c r="CD53">
        <f>PnL(($D$7*(1+CD$2)),$E53,(RiskSlide!$A$7),($G53+CD$3),((RiskSlide!$A$10)/260),$C53,$B53,RiskSlide!$H82)</f>
        <v>-41913.63556075457</v>
      </c>
      <c r="CE53">
        <f>PnL(($D$7*(1+CE$2)),$E53,(RiskSlide!$A$7),($G53+CE$3),((RiskSlide!$A$10)/260),$C53,$B53,RiskSlide!$H82)</f>
        <v>-41883.240725030104</v>
      </c>
      <c r="CF53">
        <f>PnL(($D$7*(1+CF$2)),$E53,(RiskSlide!$A$7),($G53+CF$3),((RiskSlide!$A$10)/260),$C53,$B53,RiskSlide!$H82)</f>
        <v>-41912.918777010302</v>
      </c>
      <c r="CG53">
        <f>PnL(($D$7*(1+CG$2)),$E53,(RiskSlide!$A$7),($G53+CG$3),((RiskSlide!$A$10)/260),$C53,$B53,RiskSlide!$H82)</f>
        <v>-41913.633679247374</v>
      </c>
      <c r="CH53">
        <f>PnL(($D$7*(1+CH$2)),$E53,(RiskSlide!$A$7),($G53+CH$3),((RiskSlide!$A$10)/260),$C53,$B53,RiskSlide!$H82)</f>
        <v>-41913.634939869771</v>
      </c>
      <c r="CI53">
        <f>PnL(($D$7*(1+CI$2)),$E53,(RiskSlide!$A$7),($G53+CI$3),((RiskSlide!$A$10)/260),$C53,$B53,RiskSlide!$H82)</f>
        <v>-41913.635379774547</v>
      </c>
      <c r="CJ53">
        <f>PnL(($D$7*(1+CJ$2)),$E53,(RiskSlide!$A$7),($G53+CJ$3),((RiskSlide!$A$10)/260),$C53,$B53,RiskSlide!$H82)</f>
        <v>-41913.635515085829</v>
      </c>
      <c r="CK53">
        <f>PnL(($D$7*(1+CK$2)),$E53,(RiskSlide!$A$7),($G53+CK$3),((RiskSlide!$A$10)/260),$C53,$B53,RiskSlide!$H82)</f>
        <v>-41913.635551019055</v>
      </c>
      <c r="CL53">
        <f>PnL(($D$7*(1+CL$2)),$E53,(RiskSlide!$A$7),($G53+CL$3),((RiskSlide!$A$10)/260),$C53,$B53,RiskSlide!$H82)</f>
        <v>-41913.63556075457</v>
      </c>
      <c r="CM53">
        <f>PnL(($D$7*(1+CM$2)),$E53,(RiskSlide!$A$7),($G53+CM$3),((RiskSlide!$A$10)/260),$C53,$B53,RiskSlide!$H82)</f>
        <v>-41913.63556075457</v>
      </c>
    </row>
    <row r="54" spans="1:91" x14ac:dyDescent="0.25">
      <c r="A54" t="s">
        <v>49</v>
      </c>
      <c r="B54">
        <v>-11</v>
      </c>
      <c r="C54">
        <v>1</v>
      </c>
      <c r="E54">
        <v>1800</v>
      </c>
      <c r="F54">
        <v>3.5000000000000001E-3</v>
      </c>
      <c r="G54">
        <v>0.126059</v>
      </c>
      <c r="K54">
        <f>PnL(($D$7*(1+K$2)),$E54,(RiskSlide!$A$7),($G54+K$3),((RiskSlide!$A$10)/260),$C54,$B54,RiskSlide!$H83)</f>
        <v>2415.1617971346491</v>
      </c>
      <c r="L54">
        <f>PnL(($D$7*(1+L$2)),$E54,(RiskSlide!$A$7),($G54+L$3),((RiskSlide!$A$10)/260),$C54,$B54,RiskSlide!$H83)</f>
        <v>2415.2723487597532</v>
      </c>
      <c r="M54">
        <f>PnL(($D$7*(1+M$2)),$E54,(RiskSlide!$A$7),($G54+M$3),((RiskSlide!$A$10)/260),$C54,$B54,RiskSlide!$H83)</f>
        <v>2415.2725750753098</v>
      </c>
      <c r="N54">
        <f>PnL(($D$7*(1+N$2)),$E54,(RiskSlide!$A$7),($G54+N$3),((RiskSlide!$A$10)/260),$C54,$B54,RiskSlide!$H83)</f>
        <v>2415.2725750827967</v>
      </c>
      <c r="O54">
        <f>PnL(($D$7*(1+O$2)),$E54,(RiskSlide!$A$7),($G54+O$3),((RiskSlide!$A$10)/260),$C54,$B54,RiskSlide!$H83)</f>
        <v>2415.2725750839236</v>
      </c>
      <c r="P54">
        <f>PnL(($D$7*(1+P$2)),$E54,(RiskSlide!$A$7),($G54+P$3),((RiskSlide!$A$10)/260),$C54,$B54,RiskSlide!$H83)</f>
        <v>2415.2725750840582</v>
      </c>
      <c r="Q54">
        <f>PnL(($D$7*(1+Q$2)),$E54,(RiskSlide!$A$7),($G54+Q$3),((RiskSlide!$A$10)/260),$C54,$B54,RiskSlide!$H83)</f>
        <v>2415.2725750840705</v>
      </c>
      <c r="R54">
        <f>PnL(($D$7*(1+R$2)),$E54,(RiskSlide!$A$7),($G54+R$3),((RiskSlide!$A$10)/260),$C54,$B54,RiskSlide!$H83)</f>
        <v>2415.2725750840718</v>
      </c>
      <c r="S54">
        <f>PnL(($D$7*(1+S$2)),$E54,(RiskSlide!$A$7),($G54+S$3),((RiskSlide!$A$10)/260),$C54,$B54,RiskSlide!$H83)</f>
        <v>2415.2725750840718</v>
      </c>
      <c r="T54">
        <f>PnL(($D$7*(1+T$2)),$E54,(RiskSlide!$A$7),($G54+T$3),((RiskSlide!$A$10)/260),$C54,$B54,RiskSlide!$H83)</f>
        <v>2279.4283297102029</v>
      </c>
      <c r="U54">
        <f>PnL(($D$7*(1+U$2)),$E54,(RiskSlide!$A$7),($G54+U$3),((RiskSlide!$A$10)/260),$C54,$B54,RiskSlide!$H83)</f>
        <v>2399.8571928825004</v>
      </c>
      <c r="V54">
        <f>PnL(($D$7*(1+V$2)),$E54,(RiskSlide!$A$7),($G54+V$3),((RiskSlide!$A$10)/260),$C54,$B54,RiskSlide!$H83)</f>
        <v>2414.7265179691408</v>
      </c>
      <c r="W54">
        <f>PnL(($D$7*(1+W$2)),$E54,(RiskSlide!$A$7),($G54+W$3),((RiskSlide!$A$10)/260),$C54,$B54,RiskSlide!$H83)</f>
        <v>2414.9773902087159</v>
      </c>
      <c r="X54">
        <f>PnL(($D$7*(1+X$2)),$E54,(RiskSlide!$A$7),($G54+X$3),((RiskSlide!$A$10)/260),$C54,$B54,RiskSlide!$H83)</f>
        <v>2415.1233378473125</v>
      </c>
      <c r="Y54">
        <f>PnL(($D$7*(1+Y$2)),$E54,(RiskSlide!$A$7),($G54+Y$3),((RiskSlide!$A$10)/260),$C54,$B54,RiskSlide!$H83)</f>
        <v>2415.2027743249046</v>
      </c>
      <c r="Z54">
        <f>PnL(($D$7*(1+Z$2)),$E54,(RiskSlide!$A$7),($G54+Z$3),((RiskSlide!$A$10)/260),$C54,$B54,RiskSlide!$H83)</f>
        <v>2415.2427699266905</v>
      </c>
      <c r="AA54">
        <f>PnL(($D$7*(1+AA$2)),$E54,(RiskSlide!$A$7),($G54+AA$3),((RiskSlide!$A$10)/260),$C54,$B54,RiskSlide!$H83)</f>
        <v>2415.2725750323007</v>
      </c>
      <c r="AB54">
        <f>PnL(($D$7*(1+AB$2)),$E54,(RiskSlide!$A$7),($G54+AB$3),((RiskSlide!$A$10)/260),$C54,$B54,RiskSlide!$H83)</f>
        <v>2415.2725750840718</v>
      </c>
      <c r="AC54">
        <f>PnL(($D$7*(1+AC$2)),$E54,(RiskSlide!$A$7),($G54+AC$3),((RiskSlide!$A$10)/260),$C54,$B54,RiskSlide!$H83)</f>
        <v>-1394.0108026317348</v>
      </c>
      <c r="AD54">
        <f>PnL(($D$7*(1+AD$2)),$E54,(RiskSlide!$A$7),($G54+AD$3),((RiskSlide!$A$10)/260),$C54,$B54,RiskSlide!$H83)</f>
        <v>349.74532571713723</v>
      </c>
      <c r="AE54">
        <f>PnL(($D$7*(1+AE$2)),$E54,(RiskSlide!$A$7),($G54+AE$3),((RiskSlide!$A$10)/260),$C54,$B54,RiskSlide!$H83)</f>
        <v>1473.1274046563926</v>
      </c>
      <c r="AF54">
        <f>PnL(($D$7*(1+AF$2)),$E54,(RiskSlide!$A$7),($G54+AF$3),((RiskSlide!$A$10)/260),$C54,$B54,RiskSlide!$H83)</f>
        <v>1589.0335199340284</v>
      </c>
      <c r="AG54">
        <f>PnL(($D$7*(1+AG$2)),$E54,(RiskSlide!$A$7),($G54+AG$3),((RiskSlide!$A$10)/260),$C54,$B54,RiskSlide!$H83)</f>
        <v>1698.3508987081066</v>
      </c>
      <c r="AH54">
        <f>PnL(($D$7*(1+AH$2)),$E54,(RiskSlide!$A$7),($G54+AH$3),((RiskSlide!$A$10)/260),$C54,$B54,RiskSlide!$H83)</f>
        <v>1800.7097108620655</v>
      </c>
      <c r="AI54">
        <f>PnL(($D$7*(1+AI$2)),$E54,(RiskSlide!$A$7),($G54+AI$3),((RiskSlide!$A$10)/260),$C54,$B54,RiskSlide!$H83)</f>
        <v>1895.7424092581946</v>
      </c>
      <c r="AJ54">
        <f>PnL(($D$7*(1+AJ$2)),$E54,(RiskSlide!$A$7),($G54+AJ$3),((RiskSlide!$A$10)/260),$C54,$B54,RiskSlide!$H83)</f>
        <v>2360.7482234275617</v>
      </c>
      <c r="AK54">
        <f>PnL(($D$7*(1+AK$2)),$E54,(RiskSlide!$A$7),($G54+AK$3),((RiskSlide!$A$10)/260),$C54,$B54,RiskSlide!$H83)</f>
        <v>2415.2725749683127</v>
      </c>
      <c r="AL54">
        <f>PnL(($D$7*(1+AL$2)),$E54,(RiskSlide!$A$7),($G54+AL$3),((RiskSlide!$A$10)/260),$C54,$B54,RiskSlide!$H83)</f>
        <v>-2716.7300863414939</v>
      </c>
      <c r="AM54">
        <f>PnL(($D$7*(1+AM$2)),$E54,(RiskSlide!$A$7),($G54+AM$3),((RiskSlide!$A$10)/260),$C54,$B54,RiskSlide!$H83)</f>
        <v>-697.65276598401158</v>
      </c>
      <c r="AN54">
        <f>PnL(($D$7*(1+AN$2)),$E54,(RiskSlide!$A$7),($G54+AN$3),((RiskSlide!$A$10)/260),$C54,$B54,RiskSlide!$H83)</f>
        <v>731.76318597898273</v>
      </c>
      <c r="AO54">
        <f>PnL(($D$7*(1+AO$2)),$E54,(RiskSlide!$A$7),($G54+AO$3),((RiskSlide!$A$10)/260),$C54,$B54,RiskSlide!$H83)</f>
        <v>892.30144818969848</v>
      </c>
      <c r="AP54">
        <f>PnL(($D$7*(1+AP$2)),$E54,(RiskSlide!$A$7),($G54+AP$3),((RiskSlide!$A$10)/260),$C54,$B54,RiskSlide!$H83)</f>
        <v>1047.6440601428321</v>
      </c>
      <c r="AQ54">
        <f>PnL(($D$7*(1+AQ$2)),$E54,(RiskSlide!$A$7),($G54+AQ$3),((RiskSlide!$A$10)/260),$C54,$B54,RiskSlide!$H83)</f>
        <v>1197.3479042835352</v>
      </c>
      <c r="AR54">
        <f>PnL(($D$7*(1+AR$2)),$E54,(RiskSlide!$A$7),($G54+AR$3),((RiskSlide!$A$10)/260),$C54,$B54,RiskSlide!$H83)</f>
        <v>1340.9302131023792</v>
      </c>
      <c r="AS54">
        <f>PnL(($D$7*(1+AS$2)),$E54,(RiskSlide!$A$7),($G54+AS$3),((RiskSlide!$A$10)/260),$C54,$B54,RiskSlide!$H83)</f>
        <v>2199.4833593560293</v>
      </c>
      <c r="AT54">
        <f>PnL(($D$7*(1+AT$2)),$E54,(RiskSlide!$A$7),($G54+AT$3),((RiskSlide!$A$10)/260),$C54,$B54,RiskSlide!$H83)</f>
        <v>2415.2716183166435</v>
      </c>
      <c r="AU54">
        <f>PnL(($D$7*(1+AU$2)),$E54,(RiskSlide!$A$7),($G54+AU$3),((RiskSlide!$A$10)/260),$C54,$B54,RiskSlide!$H83)</f>
        <v>-4344.2160054919095</v>
      </c>
      <c r="AV54">
        <f>PnL(($D$7*(1+AV$2)),$E54,(RiskSlide!$A$7),($G54+AV$3),((RiskSlide!$A$10)/260),$C54,$B54,RiskSlide!$H83)</f>
        <v>-2101.1281051320339</v>
      </c>
      <c r="AW54">
        <f>PnL(($D$7*(1+AW$2)),$E54,(RiskSlide!$A$7),($G54+AW$3),((RiskSlide!$A$10)/260),$C54,$B54,RiskSlide!$H83)</f>
        <v>-402.11013644449736</v>
      </c>
      <c r="AX54">
        <f>PnL(($D$7*(1+AX$2)),$E54,(RiskSlide!$A$7),($G54+AX$3),((RiskSlide!$A$10)/260),$C54,$B54,RiskSlide!$H83)</f>
        <v>-199.58020388953912</v>
      </c>
      <c r="AY54">
        <f>PnL(($D$7*(1+AY$2)),$E54,(RiskSlide!$A$7),($G54+AY$3),((RiskSlide!$A$10)/260),$C54,$B54,RiskSlide!$H83)</f>
        <v>0</v>
      </c>
      <c r="AZ54">
        <f>PnL(($D$7*(1+AZ$2)),$E54,(RiskSlide!$A$7),($G54+AZ$3),((RiskSlide!$A$10)/260),$C54,$B54,RiskSlide!$H83)</f>
        <v>196.31622562388884</v>
      </c>
      <c r="BA54">
        <f>PnL(($D$7*(1+BA$2)),$E54,(RiskSlide!$A$7),($G54+BA$3),((RiskSlide!$A$10)/260),$C54,$B54,RiskSlide!$H83)</f>
        <v>389.01077490274361</v>
      </c>
      <c r="BB54">
        <f>PnL(($D$7*(1+BB$2)),$E54,(RiskSlide!$A$7),($G54+BB$3),((RiskSlide!$A$10)/260),$C54,$B54,RiskSlide!$H83)</f>
        <v>1736.205406836089</v>
      </c>
      <c r="BC54">
        <f>PnL(($D$7*(1+BC$2)),$E54,(RiskSlide!$A$7),($G54+BC$3),((RiskSlide!$A$10)/260),$C54,$B54,RiskSlide!$H83)</f>
        <v>2414.4728412192499</v>
      </c>
      <c r="BD54">
        <f>PnL(($D$7*(1+BD$2)),$E54,(RiskSlide!$A$7),($G54+BD$3),((RiskSlide!$A$10)/260),$C54,$B54,RiskSlide!$H83)</f>
        <v>-6299.3342444061627</v>
      </c>
      <c r="BE54">
        <f>PnL(($D$7*(1+BE$2)),$E54,(RiskSlide!$A$7),($G54+BE$3),((RiskSlide!$A$10)/260),$C54,$B54,RiskSlide!$H83)</f>
        <v>-3907.5639654281076</v>
      </c>
      <c r="BF54">
        <f>PnL(($D$7*(1+BF$2)),$E54,(RiskSlide!$A$7),($G54+BF$3),((RiskSlide!$A$10)/260),$C54,$B54,RiskSlide!$H83)</f>
        <v>-2020.6369214156894</v>
      </c>
      <c r="BG54">
        <f>PnL(($D$7*(1+BG$2)),$E54,(RiskSlide!$A$7),($G54+BG$3),((RiskSlide!$A$10)/260),$C54,$B54,RiskSlide!$H83)</f>
        <v>-1787.5979905326972</v>
      </c>
      <c r="BH54">
        <f>PnL(($D$7*(1+BH$2)),$E54,(RiskSlide!$A$7),($G54+BH$3),((RiskSlide!$A$10)/260),$C54,$B54,RiskSlide!$H83)</f>
        <v>-1555.4288914913911</v>
      </c>
      <c r="BI54">
        <f>PnL(($D$7*(1+BI$2)),$E54,(RiskSlide!$A$7),($G54+BI$3),((RiskSlide!$A$10)/260),$C54,$B54,RiskSlide!$H83)</f>
        <v>-1324.2336162420088</v>
      </c>
      <c r="BJ54">
        <f>PnL(($D$7*(1+BJ$2)),$E54,(RiskSlide!$A$7),($G54+BJ$3),((RiskSlide!$A$10)/260),$C54,$B54,RiskSlide!$H83)</f>
        <v>-1094.1332026637497</v>
      </c>
      <c r="BK54">
        <f>PnL(($D$7*(1+BK$2)),$E54,(RiskSlide!$A$7),($G54+BK$3),((RiskSlide!$A$10)/260),$C54,$B54,RiskSlide!$H83)</f>
        <v>683.1051591465723</v>
      </c>
      <c r="BL54">
        <f>PnL(($D$7*(1+BL$2)),$E54,(RiskSlide!$A$7),($G54+BL$3),((RiskSlide!$A$10)/260),$C54,$B54,RiskSlide!$H83)</f>
        <v>2336.4249040584004</v>
      </c>
      <c r="BM54">
        <f>PnL(($D$7*(1+BM$2)),$E54,(RiskSlide!$A$7),($G54+BM$3),((RiskSlide!$A$10)/260),$C54,$B54,RiskSlide!$H83)</f>
        <v>-8595.6051111049874</v>
      </c>
      <c r="BN54">
        <f>PnL(($D$7*(1+BN$2)),$E54,(RiskSlide!$A$7),($G54+BN$3),((RiskSlide!$A$10)/260),$C54,$B54,RiskSlide!$H83)</f>
        <v>-6146.718568220308</v>
      </c>
      <c r="BO54">
        <f>PnL(($D$7*(1+BO$2)),$E54,(RiskSlide!$A$7),($G54+BO$3),((RiskSlide!$A$10)/260),$C54,$B54,RiskSlide!$H83)</f>
        <v>-4187.5649678924219</v>
      </c>
      <c r="BP54">
        <f>PnL(($D$7*(1+BP$2)),$E54,(RiskSlide!$A$7),($G54+BP$3),((RiskSlide!$A$10)/260),$C54,$B54,RiskSlide!$H83)</f>
        <v>-3942.6694118604419</v>
      </c>
      <c r="BQ54">
        <f>PnL(($D$7*(1+BQ$2)),$E54,(RiskSlide!$A$7),($G54+BQ$3),((RiskSlide!$A$10)/260),$C54,$B54,RiskSlide!$H83)</f>
        <v>-3697.7737894169763</v>
      </c>
      <c r="BR54">
        <f>PnL(($D$7*(1+BR$2)),$E54,(RiskSlide!$A$7),($G54+BR$3),((RiskSlide!$A$10)/260),$C54,$B54,RiskSlide!$H83)</f>
        <v>-3452.878192359407</v>
      </c>
      <c r="BS54">
        <f>PnL(($D$7*(1+BS$2)),$E54,(RiskSlide!$A$7),($G54+BS$3),((RiskSlide!$A$10)/260),$C54,$B54,RiskSlide!$H83)</f>
        <v>-3207.9827242461479</v>
      </c>
      <c r="BT54">
        <f>PnL(($D$7*(1+BT$2)),$E54,(RiskSlide!$A$7),($G54+BT$3),((RiskSlide!$A$10)/260),$C54,$B54,RiskSlide!$H83)</f>
        <v>-1248.8429910005209</v>
      </c>
      <c r="BU54">
        <f>PnL(($D$7*(1+BU$2)),$E54,(RiskSlide!$A$7),($G54+BU$3),((RiskSlide!$A$10)/260),$C54,$B54,RiskSlide!$H83)</f>
        <v>1199.6281532395244</v>
      </c>
      <c r="BV54">
        <f>PnL(($D$7*(1+BV$2)),$E54,(RiskSlide!$A$7),($G54+BV$3),((RiskSlide!$A$10)/260),$C54,$B54,RiskSlide!$H83)</f>
        <v>-37744.594741756446</v>
      </c>
      <c r="BW54">
        <f>PnL(($D$7*(1+BW$2)),$E54,(RiskSlide!$A$7),($G54+BW$3),((RiskSlide!$A$10)/260),$C54,$B54,RiskSlide!$H83)</f>
        <v>-36998.937280964637</v>
      </c>
      <c r="BX54">
        <f>PnL(($D$7*(1+BX$2)),$E54,(RiskSlide!$A$7),($G54+BX$3),((RiskSlide!$A$10)/260),$C54,$B54,RiskSlide!$H83)</f>
        <v>-36725.637910598998</v>
      </c>
      <c r="BY54">
        <f>PnL(($D$7*(1+BY$2)),$E54,(RiskSlide!$A$7),($G54+BY$3),((RiskSlide!$A$10)/260),$C54,$B54,RiskSlide!$H83)</f>
        <v>-36709.353409365278</v>
      </c>
      <c r="BZ54">
        <f>PnL(($D$7*(1+BZ$2)),$E54,(RiskSlide!$A$7),($G54+BZ$3),((RiskSlide!$A$10)/260),$C54,$B54,RiskSlide!$H83)</f>
        <v>-36696.235801351795</v>
      </c>
      <c r="CA54">
        <f>PnL(($D$7*(1+CA$2)),$E54,(RiskSlide!$A$7),($G54+CA$3),((RiskSlide!$A$10)/260),$C54,$B54,RiskSlide!$H83)</f>
        <v>-36685.947725988619</v>
      </c>
      <c r="CB54">
        <f>PnL(($D$7*(1+CB$2)),$E54,(RiskSlide!$A$7),($G54+CB$3),((RiskSlide!$A$10)/260),$C54,$B54,RiskSlide!$H83)</f>
        <v>-36678.127378067613</v>
      </c>
      <c r="CC54">
        <f>PnL(($D$7*(1+CC$2)),$E54,(RiskSlide!$A$7),($G54+CC$3),((RiskSlide!$A$10)/260),$C54,$B54,RiskSlide!$H83)</f>
        <v>-36662.226414368743</v>
      </c>
      <c r="CD54">
        <f>PnL(($D$7*(1+CD$2)),$E54,(RiskSlide!$A$7),($G54+CD$3),((RiskSlide!$A$10)/260),$C54,$B54,RiskSlide!$H83)</f>
        <v>-36662.183682042298</v>
      </c>
      <c r="CE54">
        <f>PnL(($D$7*(1+CE$2)),$E54,(RiskSlide!$A$7),($G54+CE$3),((RiskSlide!$A$10)/260),$C54,$B54,RiskSlide!$H83)</f>
        <v>-85672.941754425119</v>
      </c>
      <c r="CF54">
        <f>PnL(($D$7*(1+CF$2)),$E54,(RiskSlide!$A$7),($G54+CF$3),((RiskSlide!$A$10)/260),$C54,$B54,RiskSlide!$H83)</f>
        <v>-85663.580204567988</v>
      </c>
      <c r="CG54">
        <f>PnL(($D$7*(1+CG$2)),$E54,(RiskSlide!$A$7),($G54+CG$3),((RiskSlide!$A$10)/260),$C54,$B54,RiskSlide!$H83)</f>
        <v>-85663.334391507829</v>
      </c>
      <c r="CH54">
        <f>PnL(($D$7*(1+CH$2)),$E54,(RiskSlide!$A$7),($G54+CH$3),((RiskSlide!$A$10)/260),$C54,$B54,RiskSlide!$H83)</f>
        <v>-85663.333918851728</v>
      </c>
      <c r="CI54">
        <f>PnL(($D$7*(1+CI$2)),$E54,(RiskSlide!$A$7),($G54+CI$3),((RiskSlide!$A$10)/260),$C54,$B54,RiskSlide!$H83)</f>
        <v>-85663.333751806931</v>
      </c>
      <c r="CJ54">
        <f>PnL(($D$7*(1+CJ$2)),$E54,(RiskSlide!$A$7),($G54+CJ$3),((RiskSlide!$A$10)/260),$C54,$B54,RiskSlide!$H83)</f>
        <v>-85663.33369981173</v>
      </c>
      <c r="CK54">
        <f>PnL(($D$7*(1+CK$2)),$E54,(RiskSlide!$A$7),($G54+CK$3),((RiskSlide!$A$10)/260),$C54,$B54,RiskSlide!$H83)</f>
        <v>-85663.33368585803</v>
      </c>
      <c r="CL54">
        <f>PnL(($D$7*(1+CL$2)),$E54,(RiskSlide!$A$7),($G54+CL$3),((RiskSlide!$A$10)/260),$C54,$B54,RiskSlide!$H83)</f>
        <v>-85663.333682042343</v>
      </c>
      <c r="CM54">
        <f>PnL(($D$7*(1+CM$2)),$E54,(RiskSlide!$A$7),($G54+CM$3),((RiskSlide!$A$10)/260),$C54,$B54,RiskSlide!$H83)</f>
        <v>-85663.333682042343</v>
      </c>
    </row>
    <row r="55" spans="1:91" x14ac:dyDescent="0.25">
      <c r="A55" t="s">
        <v>50</v>
      </c>
      <c r="B55">
        <v>-17</v>
      </c>
      <c r="C55">
        <v>0</v>
      </c>
      <c r="E55">
        <v>1800</v>
      </c>
      <c r="F55">
        <v>3.5000000000000001E-3</v>
      </c>
      <c r="G55">
        <v>0.126059</v>
      </c>
      <c r="K55">
        <f>PnL(($D$7*(1+K$2)),$E55,(RiskSlide!$A$7),($G55+K$3),((RiskSlide!$A$10)/260),$C55,$B55,RiskSlide!$H84)</f>
        <v>-147725.57722261004</v>
      </c>
      <c r="L55">
        <f>PnL(($D$7*(1+L$2)),$E55,(RiskSlide!$A$7),($G55+L$3),((RiskSlide!$A$10)/260),$C55,$B55,RiskSlide!$H84)</f>
        <v>-147725.40637009847</v>
      </c>
      <c r="M55">
        <f>PnL(($D$7*(1+M$2)),$E55,(RiskSlide!$A$7),($G55+M$3),((RiskSlide!$A$10)/260),$C55,$B55,RiskSlide!$H84)</f>
        <v>-147725.40602033818</v>
      </c>
      <c r="N55">
        <f>PnL(($D$7*(1+N$2)),$E55,(RiskSlide!$A$7),($G55+N$3),((RiskSlide!$A$10)/260),$C55,$B55,RiskSlide!$H84)</f>
        <v>-147725.40602032639</v>
      </c>
      <c r="O55">
        <f>PnL(($D$7*(1+O$2)),$E55,(RiskSlide!$A$7),($G55+O$3),((RiskSlide!$A$10)/260),$C55,$B55,RiskSlide!$H84)</f>
        <v>-147725.40602032465</v>
      </c>
      <c r="P55">
        <f>PnL(($D$7*(1+P$2)),$E55,(RiskSlide!$A$7),($G55+P$3),((RiskSlide!$A$10)/260),$C55,$B55,RiskSlide!$H84)</f>
        <v>-147725.40602032444</v>
      </c>
      <c r="Q55">
        <f>PnL(($D$7*(1+Q$2)),$E55,(RiskSlide!$A$7),($G55+Q$3),((RiskSlide!$A$10)/260),$C55,$B55,RiskSlide!$H84)</f>
        <v>-147725.40602032444</v>
      </c>
      <c r="R55">
        <f>PnL(($D$7*(1+R$2)),$E55,(RiskSlide!$A$7),($G55+R$3),((RiskSlide!$A$10)/260),$C55,$B55,RiskSlide!$H84)</f>
        <v>-147725.40602032444</v>
      </c>
      <c r="S55">
        <f>PnL(($D$7*(1+S$2)),$E55,(RiskSlide!$A$7),($G55+S$3),((RiskSlide!$A$10)/260),$C55,$B55,RiskSlide!$H84)</f>
        <v>-147725.40602032444</v>
      </c>
      <c r="T55">
        <f>PnL(($D$7*(1+T$2)),$E55,(RiskSlide!$A$7),($G55+T$3),((RiskSlide!$A$10)/260),$C55,$B55,RiskSlide!$H84)</f>
        <v>-72206.297126811682</v>
      </c>
      <c r="U55">
        <f>PnL(($D$7*(1+U$2)),$E55,(RiskSlide!$A$7),($G55+U$3),((RiskSlide!$A$10)/260),$C55,$B55,RiskSlide!$H84)</f>
        <v>-72020.179792817915</v>
      </c>
      <c r="V55">
        <f>PnL(($D$7*(1+V$2)),$E55,(RiskSlide!$A$7),($G55+V$3),((RiskSlide!$A$10)/260),$C55,$B55,RiskSlide!$H84)</f>
        <v>-71997.199926774949</v>
      </c>
      <c r="W55">
        <f>PnL(($D$7*(1+W$2)),$E55,(RiskSlide!$A$7),($G55+W$3),((RiskSlide!$A$10)/260),$C55,$B55,RiskSlide!$H84)</f>
        <v>-71996.812215131984</v>
      </c>
      <c r="X55">
        <f>PnL(($D$7*(1+X$2)),$E55,(RiskSlide!$A$7),($G55+X$3),((RiskSlide!$A$10)/260),$C55,$B55,RiskSlide!$H84)</f>
        <v>-71996.586659690758</v>
      </c>
      <c r="Y55">
        <f>PnL(($D$7*(1+Y$2)),$E55,(RiskSlide!$A$7),($G55+Y$3),((RiskSlide!$A$10)/260),$C55,$B55,RiskSlide!$H84)</f>
        <v>-71996.463894225279</v>
      </c>
      <c r="Z55">
        <f>PnL(($D$7*(1+Z$2)),$E55,(RiskSlide!$A$7),($G55+Z$3),((RiskSlide!$A$10)/260),$C55,$B55,RiskSlide!$H84)</f>
        <v>-71996.402082840505</v>
      </c>
      <c r="AA55">
        <f>PnL(($D$7*(1+AA$2)),$E55,(RiskSlide!$A$7),($G55+AA$3),((RiskSlide!$A$10)/260),$C55,$B55,RiskSlide!$H84)</f>
        <v>-71996.356020404593</v>
      </c>
      <c r="AB55">
        <f>PnL(($D$7*(1+AB$2)),$E55,(RiskSlide!$A$7),($G55+AB$3),((RiskSlide!$A$10)/260),$C55,$B55,RiskSlide!$H84)</f>
        <v>-71996.356020324587</v>
      </c>
      <c r="AC55">
        <f>PnL(($D$7*(1+AC$2)),$E55,(RiskSlide!$A$7),($G55+AC$3),((RiskSlide!$A$10)/260),$C55,$B55,RiskSlide!$H84)</f>
        <v>-17300.190331339956</v>
      </c>
      <c r="AD55">
        <f>PnL(($D$7*(1+AD$2)),$E55,(RiskSlide!$A$7),($G55+AD$3),((RiskSlide!$A$10)/260),$C55,$B55,RiskSlide!$H84)</f>
        <v>-14605.29449661907</v>
      </c>
      <c r="AE55">
        <f>PnL(($D$7*(1+AE$2)),$E55,(RiskSlide!$A$7),($G55+AE$3),((RiskSlide!$A$10)/260),$C55,$B55,RiskSlide!$H84)</f>
        <v>-12869.158556440219</v>
      </c>
      <c r="AF55">
        <f>PnL(($D$7*(1+AF$2)),$E55,(RiskSlide!$A$7),($G55+AF$3),((RiskSlide!$A$10)/260),$C55,$B55,RiskSlide!$H84)</f>
        <v>-12690.030923738323</v>
      </c>
      <c r="AG55">
        <f>PnL(($D$7*(1+AG$2)),$E55,(RiskSlide!$A$7),($G55+AG$3),((RiskSlide!$A$10)/260),$C55,$B55,RiskSlide!$H84)</f>
        <v>-12521.085883814772</v>
      </c>
      <c r="AH55">
        <f>PnL(($D$7*(1+AH$2)),$E55,(RiskSlide!$A$7),($G55+AH$3),((RiskSlide!$A$10)/260),$C55,$B55,RiskSlide!$H84)</f>
        <v>-12362.894992303938</v>
      </c>
      <c r="AI55">
        <f>PnL(($D$7*(1+AI$2)),$E55,(RiskSlide!$A$7),($G55+AI$3),((RiskSlide!$A$10)/260),$C55,$B55,RiskSlide!$H84)</f>
        <v>-12216.026276601144</v>
      </c>
      <c r="AJ55">
        <f>PnL(($D$7*(1+AJ$2)),$E55,(RiskSlide!$A$7),($G55+AJ$3),((RiskSlide!$A$10)/260),$C55,$B55,RiskSlide!$H84)</f>
        <v>-11497.38092743022</v>
      </c>
      <c r="AK55">
        <f>PnL(($D$7*(1+AK$2)),$E55,(RiskSlide!$A$7),($G55+AK$3),((RiskSlide!$A$10)/260),$C55,$B55,RiskSlide!$H84)</f>
        <v>-11413.116020503345</v>
      </c>
      <c r="AL55">
        <f>PnL(($D$7*(1+AL$2)),$E55,(RiskSlide!$A$7),($G55+AL$3),((RiskSlide!$A$10)/260),$C55,$B55,RiskSlide!$H84)</f>
        <v>-11771.487860709511</v>
      </c>
      <c r="AM55">
        <f>PnL(($D$7*(1+AM$2)),$E55,(RiskSlide!$A$7),($G55+AM$3),((RiskSlide!$A$10)/260),$C55,$B55,RiskSlide!$H84)</f>
        <v>-8651.0956383387111</v>
      </c>
      <c r="AN55">
        <f>PnL(($D$7*(1+AN$2)),$E55,(RiskSlide!$A$7),($G55+AN$3),((RiskSlide!$A$10)/260),$C55,$B55,RiskSlide!$H84)</f>
        <v>-6441.9982580326523</v>
      </c>
      <c r="AO55">
        <f>PnL(($D$7*(1+AO$2)),$E55,(RiskSlide!$A$7),($G55+AO$3),((RiskSlide!$A$10)/260),$C55,$B55,RiskSlide!$H84)</f>
        <v>-6193.8936709795826</v>
      </c>
      <c r="AP55">
        <f>PnL(($D$7*(1+AP$2)),$E55,(RiskSlide!$A$7),($G55+AP$3),((RiskSlide!$A$10)/260),$C55,$B55,RiskSlide!$H84)</f>
        <v>-5953.8187252337821</v>
      </c>
      <c r="AQ55">
        <f>PnL(($D$7*(1+AQ$2)),$E55,(RiskSlide!$A$7),($G55+AQ$3),((RiskSlide!$A$10)/260),$C55,$B55,RiskSlide!$H84)</f>
        <v>-5722.4582388346107</v>
      </c>
      <c r="AR55">
        <f>PnL(($D$7*(1+AR$2)),$E55,(RiskSlide!$A$7),($G55+AR$3),((RiskSlide!$A$10)/260),$C55,$B55,RiskSlide!$H84)</f>
        <v>-5500.5583070235734</v>
      </c>
      <c r="AS55">
        <f>PnL(($D$7*(1+AS$2)),$E55,(RiskSlide!$A$7),($G55+AS$3),((RiskSlide!$A$10)/260),$C55,$B55,RiskSlide!$H84)</f>
        <v>-4173.7034446317011</v>
      </c>
      <c r="AT55">
        <f>PnL(($D$7*(1+AT$2)),$E55,(RiskSlide!$A$7),($G55+AT$3),((RiskSlide!$A$10)/260),$C55,$B55,RiskSlide!$H84)</f>
        <v>-3840.2124989650815</v>
      </c>
      <c r="AU55">
        <f>PnL(($D$7*(1+AU$2)),$E55,(RiskSlide!$A$7),($G55+AU$3),((RiskSlide!$A$10)/260),$C55,$B55,RiskSlide!$H84)</f>
        <v>-6713.7883721238613</v>
      </c>
      <c r="AV55">
        <f>PnL(($D$7*(1+AV$2)),$E55,(RiskSlide!$A$7),($G55+AV$3),((RiskSlide!$A$10)/260),$C55,$B55,RiskSlide!$H84)</f>
        <v>-3247.197980658791</v>
      </c>
      <c r="AW55">
        <f>PnL(($D$7*(1+AW$2)),$E55,(RiskSlide!$A$7),($G55+AW$3),((RiskSlide!$A$10)/260),$C55,$B55,RiskSlide!$H84)</f>
        <v>-621.44293814159255</v>
      </c>
      <c r="AX55">
        <f>PnL(($D$7*(1+AX$2)),$E55,(RiskSlide!$A$7),($G55+AX$3),((RiskSlide!$A$10)/260),$C55,$B55,RiskSlide!$H84)</f>
        <v>-308.44213328368824</v>
      </c>
      <c r="AY55">
        <f>PnL(($D$7*(1+AY$2)),$E55,(RiskSlide!$A$7),($G55+AY$3),((RiskSlide!$A$10)/260),$C55,$B55,RiskSlide!$H84)</f>
        <v>0</v>
      </c>
      <c r="AZ55">
        <f>PnL(($D$7*(1+AZ$2)),$E55,(RiskSlide!$A$7),($G55+AZ$3),((RiskSlide!$A$10)/260),$C55,$B55,RiskSlide!$H84)</f>
        <v>303.39780323672585</v>
      </c>
      <c r="BA55">
        <f>PnL(($D$7*(1+BA$2)),$E55,(RiskSlide!$A$7),($G55+BA$3),((RiskSlide!$A$10)/260),$C55,$B55,RiskSlide!$H84)</f>
        <v>601.19847030433675</v>
      </c>
      <c r="BB55">
        <f>PnL(($D$7*(1+BB$2)),$E55,(RiskSlide!$A$7),($G55+BB$3),((RiskSlide!$A$10)/260),$C55,$B55,RiskSlide!$H84)</f>
        <v>2683.2265378378338</v>
      </c>
      <c r="BC55">
        <f>PnL(($D$7*(1+BC$2)),$E55,(RiskSlide!$A$7),($G55+BC$3),((RiskSlide!$A$10)/260),$C55,$B55,RiskSlide!$H84)</f>
        <v>3731.4580273388287</v>
      </c>
      <c r="BD55">
        <f>PnL(($D$7*(1+BD$2)),$E55,(RiskSlide!$A$7),($G55+BD$3),((RiskSlide!$A$10)/260),$C55,$B55,RiskSlide!$H84)</f>
        <v>-2162.4297413551458</v>
      </c>
      <c r="BE55">
        <f>PnL(($D$7*(1+BE$2)),$E55,(RiskSlide!$A$7),($G55+BE$3),((RiskSlide!$A$10)/260),$C55,$B55,RiskSlide!$H84)</f>
        <v>1533.9425079745752</v>
      </c>
      <c r="BF55">
        <f>PnL(($D$7*(1+BF$2)),$E55,(RiskSlide!$A$7),($G55+BF$3),((RiskSlide!$A$10)/260),$C55,$B55,RiskSlide!$H84)</f>
        <v>4450.1024850848698</v>
      </c>
      <c r="BG55">
        <f>PnL(($D$7*(1+BG$2)),$E55,(RiskSlide!$A$7),($G55+BG$3),((RiskSlide!$A$10)/260),$C55,$B55,RiskSlide!$H84)</f>
        <v>4810.2535600856645</v>
      </c>
      <c r="BH55">
        <f>PnL(($D$7*(1+BH$2)),$E55,(RiskSlide!$A$7),($G55+BH$3),((RiskSlide!$A$10)/260),$C55,$B55,RiskSlide!$H84)</f>
        <v>5169.0603495130399</v>
      </c>
      <c r="BI55">
        <f>PnL(($D$7*(1+BI$2)),$E55,(RiskSlide!$A$7),($G55+BI$3),((RiskSlide!$A$10)/260),$C55,$B55,RiskSlide!$H84)</f>
        <v>5526.3621385351034</v>
      </c>
      <c r="BJ55">
        <f>PnL(($D$7*(1+BJ$2)),$E55,(RiskSlide!$A$7),($G55+BJ$3),((RiskSlide!$A$10)/260),$C55,$B55,RiskSlide!$H84)</f>
        <v>5881.9718686104006</v>
      </c>
      <c r="BK55">
        <f>PnL(($D$7*(1+BK$2)),$E55,(RiskSlide!$A$7),($G55+BK$3),((RiskSlide!$A$10)/260),$C55,$B55,RiskSlide!$H84)</f>
        <v>8628.6129732262561</v>
      </c>
      <c r="BL55">
        <f>PnL(($D$7*(1+BL$2)),$E55,(RiskSlide!$A$7),($G55+BL$3),((RiskSlide!$A$10)/260),$C55,$B55,RiskSlide!$H84)</f>
        <v>11183.743488090124</v>
      </c>
      <c r="BM55">
        <f>PnL(($D$7*(1+BM$2)),$E55,(RiskSlide!$A$7),($G55+BM$3),((RiskSlide!$A$10)/260),$C55,$B55,RiskSlide!$H84)</f>
        <v>1861.6930101108153</v>
      </c>
      <c r="BN55">
        <f>PnL(($D$7*(1+BN$2)),$E55,(RiskSlide!$A$7),($G55+BN$3),((RiskSlide!$A$10)/260),$C55,$B55,RiskSlide!$H84)</f>
        <v>5646.3358491143135</v>
      </c>
      <c r="BO55">
        <f>PnL(($D$7*(1+BO$2)),$E55,(RiskSlide!$A$7),($G55+BO$3),((RiskSlide!$A$10)/260),$C55,$B55,RiskSlide!$H84)</f>
        <v>8674.1186859843929</v>
      </c>
      <c r="BP55">
        <f>PnL(($D$7*(1+BP$2)),$E55,(RiskSlide!$A$7),($G55+BP$3),((RiskSlide!$A$10)/260),$C55,$B55,RiskSlide!$H84)</f>
        <v>9052.5936362159264</v>
      </c>
      <c r="BQ55">
        <f>PnL(($D$7*(1+BQ$2)),$E55,(RiskSlide!$A$7),($G55+BQ$3),((RiskSlide!$A$10)/260),$C55,$B55,RiskSlide!$H84)</f>
        <v>9431.068689083002</v>
      </c>
      <c r="BR55">
        <f>PnL(($D$7*(1+BR$2)),$E55,(RiskSlide!$A$7),($G55+BR$3),((RiskSlide!$A$10)/260),$C55,$B55,RiskSlide!$H84)</f>
        <v>9809.5437027174285</v>
      </c>
      <c r="BS55">
        <f>PnL(($D$7*(1+BS$2)),$E55,(RiskSlide!$A$7),($G55+BS$3),((RiskSlide!$A$10)/260),$C55,$B55,RiskSlide!$H84)</f>
        <v>10188.018517074381</v>
      </c>
      <c r="BT55">
        <f>PnL(($D$7*(1+BT$2)),$E55,(RiskSlide!$A$7),($G55+BT$3),((RiskSlide!$A$10)/260),$C55,$B55,RiskSlide!$H84)</f>
        <v>13215.779922999247</v>
      </c>
      <c r="BU55">
        <f>PnL(($D$7*(1+BU$2)),$E55,(RiskSlide!$A$7),($G55+BU$3),((RiskSlide!$A$10)/260),$C55,$B55,RiskSlide!$H84)</f>
        <v>16999.780782279511</v>
      </c>
      <c r="BV55">
        <f>PnL(($D$7*(1+BV$2)),$E55,(RiskSlide!$A$7),($G55+BV$3),((RiskSlide!$A$10)/260),$C55,$B55,RiskSlide!$H84)</f>
        <v>17396.494490012876</v>
      </c>
      <c r="BW55">
        <f>PnL(($D$7*(1+BW$2)),$E55,(RiskSlide!$A$7),($G55+BW$3),((RiskSlide!$A$10)/260),$C55,$B55,RiskSlide!$H84)</f>
        <v>18548.874202145787</v>
      </c>
      <c r="BX55">
        <f>PnL(($D$7*(1+BX$2)),$E55,(RiskSlide!$A$7),($G55+BX$3),((RiskSlide!$A$10)/260),$C55,$B55,RiskSlide!$H84)</f>
        <v>18971.245956347135</v>
      </c>
      <c r="BY55">
        <f>PnL(($D$7*(1+BY$2)),$E55,(RiskSlide!$A$7),($G55+BY$3),((RiskSlide!$A$10)/260),$C55,$B55,RiskSlide!$H84)</f>
        <v>18996.412912799286</v>
      </c>
      <c r="BZ55">
        <f>PnL(($D$7*(1+BZ$2)),$E55,(RiskSlide!$A$7),($G55+BZ$3),((RiskSlide!$A$10)/260),$C55,$B55,RiskSlide!$H84)</f>
        <v>19016.685579729165</v>
      </c>
      <c r="CA55">
        <f>PnL(($D$7*(1+CA$2)),$E55,(RiskSlide!$A$7),($G55+CA$3),((RiskSlide!$A$10)/260),$C55,$B55,RiskSlide!$H84)</f>
        <v>19032.585332563172</v>
      </c>
      <c r="CB55">
        <f>PnL(($D$7*(1+CB$2)),$E55,(RiskSlide!$A$7),($G55+CB$3),((RiskSlide!$A$10)/260),$C55,$B55,RiskSlide!$H84)</f>
        <v>19044.67132480456</v>
      </c>
      <c r="CC55">
        <f>PnL(($D$7*(1+CC$2)),$E55,(RiskSlide!$A$7),($G55+CC$3),((RiskSlide!$A$10)/260),$C55,$B55,RiskSlide!$H84)</f>
        <v>19069.245541430137</v>
      </c>
      <c r="CD55">
        <f>PnL(($D$7*(1+CD$2)),$E55,(RiskSlide!$A$7),($G55+CD$3),((RiskSlide!$A$10)/260),$C55,$B55,RiskSlide!$H84)</f>
        <v>19069.311582298429</v>
      </c>
      <c r="CE55">
        <f>PnL(($D$7*(1+CE$2)),$E55,(RiskSlide!$A$7),($G55+CE$3),((RiskSlide!$A$10)/260),$C55,$B55,RiskSlide!$H84)</f>
        <v>19054.462743161374</v>
      </c>
      <c r="CF55">
        <f>PnL(($D$7*(1+CF$2)),$E55,(RiskSlide!$A$7),($G55+CF$3),((RiskSlide!$A$10)/260),$C55,$B55,RiskSlide!$H84)</f>
        <v>19068.930592940244</v>
      </c>
      <c r="CG55">
        <f>PnL(($D$7*(1+CG$2)),$E55,(RiskSlide!$A$7),($G55+CG$3),((RiskSlide!$A$10)/260),$C55,$B55,RiskSlide!$H84)</f>
        <v>19069.310485851693</v>
      </c>
      <c r="CH55">
        <f>PnL(($D$7*(1+CH$2)),$E55,(RiskSlide!$A$7),($G55+CH$3),((RiskSlide!$A$10)/260),$C55,$B55,RiskSlide!$H84)</f>
        <v>19069.311216320177</v>
      </c>
      <c r="CI55">
        <f>PnL(($D$7*(1+CI$2)),$E55,(RiskSlide!$A$7),($G55+CI$3),((RiskSlide!$A$10)/260),$C55,$B55,RiskSlide!$H84)</f>
        <v>19069.311474480288</v>
      </c>
      <c r="CJ55">
        <f>PnL(($D$7*(1+CJ$2)),$E55,(RiskSlide!$A$7),($G55+CJ$3),((RiskSlide!$A$10)/260),$C55,$B55,RiskSlide!$H84)</f>
        <v>19069.311554836549</v>
      </c>
      <c r="CK55">
        <f>PnL(($D$7*(1+CK$2)),$E55,(RiskSlide!$A$7),($G55+CK$3),((RiskSlide!$A$10)/260),$C55,$B55,RiskSlide!$H84)</f>
        <v>19069.311576401222</v>
      </c>
      <c r="CL55">
        <f>PnL(($D$7*(1+CL$2)),$E55,(RiskSlide!$A$7),($G55+CL$3),((RiskSlide!$A$10)/260),$C55,$B55,RiskSlide!$H84)</f>
        <v>19069.311582298429</v>
      </c>
      <c r="CM55">
        <f>PnL(($D$7*(1+CM$2)),$E55,(RiskSlide!$A$7),($G55+CM$3),((RiskSlide!$A$10)/260),$C55,$B55,RiskSlide!$H84)</f>
        <v>19069.311582298429</v>
      </c>
    </row>
    <row r="56" spans="1:91" x14ac:dyDescent="0.25">
      <c r="A56" t="s">
        <v>51</v>
      </c>
      <c r="B56">
        <v>-21</v>
      </c>
      <c r="C56">
        <v>1</v>
      </c>
      <c r="E56">
        <v>1805</v>
      </c>
      <c r="F56">
        <v>3.5000000000000001E-3</v>
      </c>
      <c r="G56">
        <v>0.123977</v>
      </c>
      <c r="K56">
        <f>PnL(($D$7*(1+K$2)),$E56,(RiskSlide!$A$7),($G56+K$3),((RiskSlide!$A$10)/260),$C56,$B56,RiskSlide!$H85)</f>
        <v>3267.5791373431189</v>
      </c>
      <c r="L56">
        <f>PnL(($D$7*(1+L$2)),$E56,(RiskSlide!$A$7),($G56+L$3),((RiskSlide!$A$10)/260),$C56,$B56,RiskSlide!$H85)</f>
        <v>3267.6900969985873</v>
      </c>
      <c r="M56">
        <f>PnL(($D$7*(1+M$2)),$E56,(RiskSlide!$A$7),($G56+M$3),((RiskSlide!$A$10)/260),$C56,$B56,RiskSlide!$H85)</f>
        <v>3267.6902396658934</v>
      </c>
      <c r="N56">
        <f>PnL(($D$7*(1+N$2)),$E56,(RiskSlide!$A$7),($G56+N$3),((RiskSlide!$A$10)/260),$C56,$B56,RiskSlide!$H85)</f>
        <v>3267.6902396678938</v>
      </c>
      <c r="O56">
        <f>PnL(($D$7*(1+O$2)),$E56,(RiskSlide!$A$7),($G56+O$3),((RiskSlide!$A$10)/260),$C56,$B56,RiskSlide!$H85)</f>
        <v>3267.6902396681435</v>
      </c>
      <c r="P56">
        <f>PnL(($D$7*(1+P$2)),$E56,(RiskSlide!$A$7),($G56+P$3),((RiskSlide!$A$10)/260),$C56,$B56,RiskSlide!$H85)</f>
        <v>3267.690239668168</v>
      </c>
      <c r="Q56">
        <f>PnL(($D$7*(1+Q$2)),$E56,(RiskSlide!$A$7),($G56+Q$3),((RiskSlide!$A$10)/260),$C56,$B56,RiskSlide!$H85)</f>
        <v>3267.6902396681699</v>
      </c>
      <c r="R56">
        <f>PnL(($D$7*(1+R$2)),$E56,(RiskSlide!$A$7),($G56+R$3),((RiskSlide!$A$10)/260),$C56,$B56,RiskSlide!$H85)</f>
        <v>3267.6902396681699</v>
      </c>
      <c r="S56">
        <f>PnL(($D$7*(1+S$2)),$E56,(RiskSlide!$A$7),($G56+S$3),((RiskSlide!$A$10)/260),$C56,$B56,RiskSlide!$H85)</f>
        <v>3267.6902396681699</v>
      </c>
      <c r="T56">
        <f>PnL(($D$7*(1+T$2)),$E56,(RiskSlide!$A$7),($G56+T$3),((RiskSlide!$A$10)/260),$C56,$B56,RiskSlide!$H85)</f>
        <v>3085.7988143662146</v>
      </c>
      <c r="U56">
        <f>PnL(($D$7*(1+U$2)),$E56,(RiskSlide!$A$7),($G56+U$3),((RiskSlide!$A$10)/260),$C56,$B56,RiskSlide!$H85)</f>
        <v>3251.0123417962841</v>
      </c>
      <c r="V56">
        <f>PnL(($D$7*(1+V$2)),$E56,(RiskSlide!$A$7),($G56+V$3),((RiskSlide!$A$10)/260),$C56,$B56,RiskSlide!$H85)</f>
        <v>3267.2882912210462</v>
      </c>
      <c r="W56">
        <f>PnL(($D$7*(1+W$2)),$E56,(RiskSlide!$A$7),($G56+W$3),((RiskSlide!$A$10)/260),$C56,$B56,RiskSlide!$H85)</f>
        <v>3267.4891009270532</v>
      </c>
      <c r="X56">
        <f>PnL(($D$7*(1+X$2)),$E56,(RiskSlide!$A$7),($G56+X$3),((RiskSlide!$A$10)/260),$C56,$B56,RiskSlide!$H85)</f>
        <v>3267.5970818390924</v>
      </c>
      <c r="Y56">
        <f>PnL(($D$7*(1+Y$2)),$E56,(RiskSlide!$A$7),($G56+Y$3),((RiskSlide!$A$10)/260),$C56,$B56,RiskSlide!$H85)</f>
        <v>3267.6508158123311</v>
      </c>
      <c r="Z56">
        <f>PnL(($D$7*(1+Z$2)),$E56,(RiskSlide!$A$7),($G56+Z$3),((RiskSlide!$A$10)/260),$C56,$B56,RiskSlide!$H85)</f>
        <v>3267.6752325069206</v>
      </c>
      <c r="AA56">
        <f>PnL(($D$7*(1+AA$2)),$E56,(RiskSlide!$A$7),($G56+AA$3),((RiskSlide!$A$10)/260),$C56,$B56,RiskSlide!$H85)</f>
        <v>3267.6902396649921</v>
      </c>
      <c r="AB56">
        <f>PnL(($D$7*(1+AB$2)),$E56,(RiskSlide!$A$7),($G56+AB$3),((RiskSlide!$A$10)/260),$C56,$B56,RiskSlide!$H85)</f>
        <v>3267.6902396681699</v>
      </c>
      <c r="AC56">
        <f>PnL(($D$7*(1+AC$2)),$E56,(RiskSlide!$A$7),($G56+AC$3),((RiskSlide!$A$10)/260),$C56,$B56,RiskSlide!$H85)</f>
        <v>-2725.3619037414096</v>
      </c>
      <c r="AD56">
        <f>PnL(($D$7*(1+AD$2)),$E56,(RiskSlide!$A$7),($G56+AD$3),((RiskSlide!$A$10)/260),$C56,$B56,RiskSlide!$H85)</f>
        <v>273.82071910758157</v>
      </c>
      <c r="AE56">
        <f>PnL(($D$7*(1+AE$2)),$E56,(RiskSlide!$A$7),($G56+AE$3),((RiskSlide!$A$10)/260),$C56,$B56,RiskSlide!$H85)</f>
        <v>2069.6122085922611</v>
      </c>
      <c r="AF56">
        <f>PnL(($D$7*(1+AF$2)),$E56,(RiskSlide!$A$7),($G56+AF$3),((RiskSlide!$A$10)/260),$C56,$B56,RiskSlide!$H85)</f>
        <v>2242.5378776427251</v>
      </c>
      <c r="AG56">
        <f>PnL(($D$7*(1+AG$2)),$E56,(RiskSlide!$A$7),($G56+AG$3),((RiskSlide!$A$10)/260),$C56,$B56,RiskSlide!$H85)</f>
        <v>2402.2503075170862</v>
      </c>
      <c r="AH56">
        <f>PnL(($D$7*(1+AH$2)),$E56,(RiskSlide!$A$7),($G56+AH$3),((RiskSlide!$A$10)/260),$C56,$B56,RiskSlide!$H85)</f>
        <v>2548.2899458071756</v>
      </c>
      <c r="AI56">
        <f>PnL(($D$7*(1+AI$2)),$E56,(RiskSlide!$A$7),($G56+AI$3),((RiskSlide!$A$10)/260),$C56,$B56,RiskSlide!$H85)</f>
        <v>2680.2658054894578</v>
      </c>
      <c r="AJ56">
        <f>PnL(($D$7*(1+AJ$2)),$E56,(RiskSlide!$A$7),($G56+AJ$3),((RiskSlide!$A$10)/260),$C56,$B56,RiskSlide!$H85)</f>
        <v>3232.768720709239</v>
      </c>
      <c r="AK56">
        <f>PnL(($D$7*(1+AK$2)),$E56,(RiskSlide!$A$7),($G56+AK$3),((RiskSlide!$A$10)/260),$C56,$B56,RiskSlide!$H85)</f>
        <v>3267.6902396681648</v>
      </c>
      <c r="AL56">
        <f>PnL(($D$7*(1+AL$2)),$E56,(RiskSlide!$A$7),($G56+AL$3),((RiskSlide!$A$10)/260),$C56,$B56,RiskSlide!$H85)</f>
        <v>-4934.7235439040933</v>
      </c>
      <c r="AM56">
        <f>PnL(($D$7*(1+AM$2)),$E56,(RiskSlide!$A$7),($G56+AM$3),((RiskSlide!$A$10)/260),$C56,$B56,RiskSlide!$H85)</f>
        <v>-1370.8554834601982</v>
      </c>
      <c r="AN56">
        <f>PnL(($D$7*(1+AN$2)),$E56,(RiskSlide!$A$7),($G56+AN$3),((RiskSlide!$A$10)/260),$C56,$B56,RiskSlide!$H85)</f>
        <v>1017.2057190340468</v>
      </c>
      <c r="AO56">
        <f>PnL(($D$7*(1+AO$2)),$E56,(RiskSlide!$A$7),($G56+AO$3),((RiskSlide!$A$10)/260),$C56,$B56,RiskSlide!$H85)</f>
        <v>1272.2517096489028</v>
      </c>
      <c r="AP56">
        <f>PnL(($D$7*(1+AP$2)),$E56,(RiskSlide!$A$7),($G56+AP$3),((RiskSlide!$A$10)/260),$C56,$B56,RiskSlide!$H85)</f>
        <v>1515.2538033925139</v>
      </c>
      <c r="AQ56">
        <f>PnL(($D$7*(1+AQ$2)),$E56,(RiskSlide!$A$7),($G56+AQ$3),((RiskSlide!$A$10)/260),$C56,$B56,RiskSlide!$H85)</f>
        <v>1745.3739388417375</v>
      </c>
      <c r="AR56">
        <f>PnL(($D$7*(1+AR$2)),$E56,(RiskSlide!$A$7),($G56+AR$3),((RiskSlide!$A$10)/260),$C56,$B56,RiskSlide!$H85)</f>
        <v>1961.7396874986725</v>
      </c>
      <c r="AS56">
        <f>PnL(($D$7*(1+AS$2)),$E56,(RiskSlide!$A$7),($G56+AS$3),((RiskSlide!$A$10)/260),$C56,$B56,RiskSlide!$H85)</f>
        <v>3099.0475301022502</v>
      </c>
      <c r="AT56">
        <f>PnL(($D$7*(1+AT$2)),$E56,(RiskSlide!$A$7),($G56+AT$3),((RiskSlide!$A$10)/260),$C56,$B56,RiskSlide!$H85)</f>
        <v>3267.6902388268559</v>
      </c>
      <c r="AU56">
        <f>PnL(($D$7*(1+AU$2)),$E56,(RiskSlide!$A$7),($G56+AU$3),((RiskSlide!$A$10)/260),$C56,$B56,RiskSlide!$H85)</f>
        <v>-7696.9790346666368</v>
      </c>
      <c r="AV56">
        <f>PnL(($D$7*(1+AV$2)),$E56,(RiskSlide!$A$7),($G56+AV$3),((RiskSlide!$A$10)/260),$C56,$B56,RiskSlide!$H85)</f>
        <v>-3636.9443649454042</v>
      </c>
      <c r="AW56">
        <f>PnL(($D$7*(1+AW$2)),$E56,(RiskSlide!$A$7),($G56+AW$3),((RiskSlide!$A$10)/260),$C56,$B56,RiskSlide!$H85)</f>
        <v>-674.59891594765509</v>
      </c>
      <c r="AX56">
        <f>PnL(($D$7*(1+AX$2)),$E56,(RiskSlide!$A$7),($G56+AX$3),((RiskSlide!$A$10)/260),$C56,$B56,RiskSlide!$H85)</f>
        <v>-333.07713398931185</v>
      </c>
      <c r="AY56">
        <f>PnL(($D$7*(1+AY$2)),$E56,(RiskSlide!$A$7),($G56+AY$3),((RiskSlide!$A$10)/260),$C56,$B56,RiskSlide!$H85)</f>
        <v>0</v>
      </c>
      <c r="AZ56">
        <f>PnL(($D$7*(1+AZ$2)),$E56,(RiskSlide!$A$7),($G56+AZ$3),((RiskSlide!$A$10)/260),$C56,$B56,RiskSlide!$H85)</f>
        <v>323.8177707077142</v>
      </c>
      <c r="BA56">
        <f>PnL(($D$7*(1+BA$2)),$E56,(RiskSlide!$A$7),($G56+BA$3),((RiskSlide!$A$10)/260),$C56,$B56,RiskSlide!$H85)</f>
        <v>637.46804533820978</v>
      </c>
      <c r="BB56">
        <f>PnL(($D$7*(1+BB$2)),$E56,(RiskSlide!$A$7),($G56+BB$3),((RiskSlide!$A$10)/260),$C56,$B56,RiskSlide!$H85)</f>
        <v>2634.596209509577</v>
      </c>
      <c r="BC56">
        <f>PnL(($D$7*(1+BC$2)),$E56,(RiskSlide!$A$7),($G56+BC$3),((RiskSlide!$A$10)/260),$C56,$B56,RiskSlide!$H85)</f>
        <v>3267.6810182927943</v>
      </c>
      <c r="BD56">
        <f>PnL(($D$7*(1+BD$2)),$E56,(RiskSlide!$A$7),($G56+BD$3),((RiskSlide!$A$10)/260),$C56,$B56,RiskSlide!$H85)</f>
        <v>-11065.253610416445</v>
      </c>
      <c r="BE56">
        <f>PnL(($D$7*(1+BE$2)),$E56,(RiskSlide!$A$7),($G56+BE$3),((RiskSlide!$A$10)/260),$C56,$B56,RiskSlide!$H85)</f>
        <v>-6629.6527335327683</v>
      </c>
      <c r="BF56">
        <f>PnL(($D$7*(1+BF$2)),$E56,(RiskSlide!$A$7),($G56+BF$3),((RiskSlide!$A$10)/260),$C56,$B56,RiskSlide!$H85)</f>
        <v>-3201.6407731001464</v>
      </c>
      <c r="BG56">
        <f>PnL(($D$7*(1+BG$2)),$E56,(RiskSlide!$A$7),($G56+BG$3),((RiskSlide!$A$10)/260),$C56,$B56,RiskSlide!$H85)</f>
        <v>-2785.8592242828904</v>
      </c>
      <c r="BH56">
        <f>PnL(($D$7*(1+BH$2)),$E56,(RiskSlide!$A$7),($G56+BH$3),((RiskSlide!$A$10)/260),$C56,$B56,RiskSlide!$H85)</f>
        <v>-2373.9563314780667</v>
      </c>
      <c r="BI56">
        <f>PnL(($D$7*(1+BI$2)),$E56,(RiskSlide!$A$7),($G56+BI$3),((RiskSlide!$A$10)/260),$C56,$B56,RiskSlide!$H85)</f>
        <v>-1966.3778993370584</v>
      </c>
      <c r="BJ56">
        <f>PnL(($D$7*(1+BJ$2)),$E56,(RiskSlide!$A$7),($G56+BJ$3),((RiskSlide!$A$10)/260),$C56,$B56,RiskSlide!$H85)</f>
        <v>-1563.6383918085899</v>
      </c>
      <c r="BK56">
        <f>PnL(($D$7*(1+BK$2)),$E56,(RiskSlide!$A$7),($G56+BK$3),((RiskSlide!$A$10)/260),$C56,$B56,RiskSlide!$H85)</f>
        <v>1385.922868441628</v>
      </c>
      <c r="BL56">
        <f>PnL(($D$7*(1+BL$2)),$E56,(RiskSlide!$A$7),($G56+BL$3),((RiskSlide!$A$10)/260),$C56,$B56,RiskSlide!$H85)</f>
        <v>3260.538661672646</v>
      </c>
      <c r="BM56">
        <f>PnL(($D$7*(1+BM$2)),$E56,(RiskSlide!$A$7),($G56+BM$3),((RiskSlide!$A$10)/260),$C56,$B56,RiskSlide!$H85)</f>
        <v>-15076.479160355442</v>
      </c>
      <c r="BN56">
        <f>PnL(($D$7*(1+BN$2)),$E56,(RiskSlide!$A$7),($G56+BN$3),((RiskSlide!$A$10)/260),$C56,$B56,RiskSlide!$H85)</f>
        <v>-10427.467651751622</v>
      </c>
      <c r="BO56">
        <f>PnL(($D$7*(1+BO$2)),$E56,(RiskSlide!$A$7),($G56+BO$3),((RiskSlide!$A$10)/260),$C56,$B56,RiskSlide!$H85)</f>
        <v>-6725.6081005700107</v>
      </c>
      <c r="BP56">
        <f>PnL(($D$7*(1+BP$2)),$E56,(RiskSlide!$A$7),($G56+BP$3),((RiskSlide!$A$10)/260),$C56,$B56,RiskSlide!$H85)</f>
        <v>-6264.7580796880929</v>
      </c>
      <c r="BQ56">
        <f>PnL(($D$7*(1+BQ$2)),$E56,(RiskSlide!$A$7),($G56+BQ$3),((RiskSlide!$A$10)/260),$C56,$B56,RiskSlide!$H85)</f>
        <v>-5804.4939595508849</v>
      </c>
      <c r="BR56">
        <f>PnL(($D$7*(1+BR$2)),$E56,(RiskSlide!$A$7),($G56+BR$3),((RiskSlide!$A$10)/260),$C56,$B56,RiskSlide!$H85)</f>
        <v>-5344.8889023603242</v>
      </c>
      <c r="BS56">
        <f>PnL(($D$7*(1+BS$2)),$E56,(RiskSlide!$A$7),($G56+BS$3),((RiskSlide!$A$10)/260),$C56,$B56,RiskSlide!$H85)</f>
        <v>-4886.0286924548664</v>
      </c>
      <c r="BT56">
        <f>PnL(($D$7*(1+BT$2)),$E56,(RiskSlide!$A$7),($G56+BT$3),((RiskSlide!$A$10)/260),$C56,$B56,RiskSlide!$H85)</f>
        <v>-1259.6867744102751</v>
      </c>
      <c r="BU56">
        <f>PnL(($D$7*(1+BU$2)),$E56,(RiskSlide!$A$7),($G56+BU$3),((RiskSlide!$A$10)/260),$C56,$B56,RiskSlide!$H85)</f>
        <v>2775.7363570311668</v>
      </c>
      <c r="BV56">
        <f>PnL(($D$7*(1+BV$2)),$E56,(RiskSlide!$A$7),($G56+BV$3),((RiskSlide!$A$10)/260),$C56,$B56,RiskSlide!$H85)</f>
        <v>-68557.994082511854</v>
      </c>
      <c r="BW56">
        <f>PnL(($D$7*(1+BW$2)),$E56,(RiskSlide!$A$7),($G56+BW$3),((RiskSlide!$A$10)/260),$C56,$B56,RiskSlide!$H85)</f>
        <v>-66912.725868373454</v>
      </c>
      <c r="BX56">
        <f>PnL(($D$7*(1+BX$2)),$E56,(RiskSlide!$A$7),($G56+BX$3),((RiskSlide!$A$10)/260),$C56,$B56,RiskSlide!$H85)</f>
        <v>-66259.089286077069</v>
      </c>
      <c r="BY56">
        <f>PnL(($D$7*(1+BY$2)),$E56,(RiskSlide!$A$7),($G56+BY$3),((RiskSlide!$A$10)/260),$C56,$B56,RiskSlide!$H85)</f>
        <v>-66216.984185982248</v>
      </c>
      <c r="BZ56">
        <f>PnL(($D$7*(1+BZ$2)),$E56,(RiskSlide!$A$7),($G56+BZ$3),((RiskSlide!$A$10)/260),$C56,$B56,RiskSlide!$H85)</f>
        <v>-66182.35918757903</v>
      </c>
      <c r="CA56">
        <f>PnL(($D$7*(1+CA$2)),$E56,(RiskSlide!$A$7),($G56+CA$3),((RiskSlide!$A$10)/260),$C56,$B56,RiskSlide!$H85)</f>
        <v>-66154.57700276238</v>
      </c>
      <c r="CB56">
        <f>PnL(($D$7*(1+CB$2)),$E56,(RiskSlide!$A$7),($G56+CB$3),((RiskSlide!$A$10)/260),$C56,$B56,RiskSlide!$H85)</f>
        <v>-66132.919846584366</v>
      </c>
      <c r="CC56">
        <f>PnL(($D$7*(1+CC$2)),$E56,(RiskSlide!$A$7),($G56+CC$3),((RiskSlide!$A$10)/260),$C56,$B56,RiskSlide!$H85)</f>
        <v>-66085.191127267055</v>
      </c>
      <c r="CD56">
        <f>PnL(($D$7*(1+CD$2)),$E56,(RiskSlide!$A$7),($G56+CD$3),((RiskSlide!$A$10)/260),$C56,$B56,RiskSlide!$H85)</f>
        <v>-66085.008935906197</v>
      </c>
      <c r="CE56">
        <f>PnL(($D$7*(1+CE$2)),$E56,(RiskSlide!$A$7),($G56+CE$3),((RiskSlide!$A$10)/260),$C56,$B56,RiskSlide!$H85)</f>
        <v>-159656.10056766955</v>
      </c>
      <c r="CF56">
        <f>PnL(($D$7*(1+CF$2)),$E56,(RiskSlide!$A$7),($G56+CF$3),((RiskSlide!$A$10)/260),$C56,$B56,RiskSlide!$H85)</f>
        <v>-159633.32142181147</v>
      </c>
      <c r="CG56">
        <f>PnL(($D$7*(1+CG$2)),$E56,(RiskSlide!$A$7),($G56+CG$3),((RiskSlide!$A$10)/260),$C56,$B56,RiskSlide!$H85)</f>
        <v>-159632.66108291369</v>
      </c>
      <c r="CH56">
        <f>PnL(($D$7*(1+CH$2)),$E56,(RiskSlide!$A$7),($G56+CH$3),((RiskSlide!$A$10)/260),$C56,$B56,RiskSlide!$H85)</f>
        <v>-159632.65966498508</v>
      </c>
      <c r="CI56">
        <f>PnL(($D$7*(1+CI$2)),$E56,(RiskSlide!$A$7),($G56+CI$3),((RiskSlide!$A$10)/260),$C56,$B56,RiskSlide!$H85)</f>
        <v>-159632.65915444362</v>
      </c>
      <c r="CJ56">
        <f>PnL(($D$7*(1+CJ$2)),$E56,(RiskSlide!$A$7),($G56+CJ$3),((RiskSlide!$A$10)/260),$C56,$B56,RiskSlide!$H85)</f>
        <v>-159632.65899252665</v>
      </c>
      <c r="CK56">
        <f>PnL(($D$7*(1+CK$2)),$E56,(RiskSlide!$A$7),($G56+CK$3),((RiskSlide!$A$10)/260),$C56,$B56,RiskSlide!$H85)</f>
        <v>-159632.65894826502</v>
      </c>
      <c r="CL56">
        <f>PnL(($D$7*(1+CL$2)),$E56,(RiskSlide!$A$7),($G56+CL$3),((RiskSlide!$A$10)/260),$C56,$B56,RiskSlide!$H85)</f>
        <v>-159632.65893590628</v>
      </c>
      <c r="CM56">
        <f>PnL(($D$7*(1+CM$2)),$E56,(RiskSlide!$A$7),($G56+CM$3),((RiskSlide!$A$10)/260),$C56,$B56,RiskSlide!$H85)</f>
        <v>-159632.65893590628</v>
      </c>
    </row>
    <row r="57" spans="1:91" x14ac:dyDescent="0.25">
      <c r="A57" t="s">
        <v>52</v>
      </c>
      <c r="B57">
        <v>2</v>
      </c>
      <c r="C57">
        <v>0</v>
      </c>
      <c r="E57">
        <v>1805</v>
      </c>
      <c r="F57">
        <v>3.5000000000000001E-3</v>
      </c>
      <c r="G57">
        <v>0.123977</v>
      </c>
      <c r="K57">
        <f>PnL(($D$7*(1+K$2)),$E57,(RiskSlide!$A$7),($G57+K$3),((RiskSlide!$A$10)/260),$C57,$B57,RiskSlide!$H86)</f>
        <v>17507.401986919718</v>
      </c>
      <c r="L57">
        <f>PnL(($D$7*(1+L$2)),$E57,(RiskSlide!$A$7),($G57+L$3),((RiskSlide!$A$10)/260),$C57,$B57,RiskSlide!$H86)</f>
        <v>17507.391419333475</v>
      </c>
      <c r="M57">
        <f>PnL(($D$7*(1+M$2)),$E57,(RiskSlide!$A$7),($G57+M$3),((RiskSlide!$A$10)/260),$C57,$B57,RiskSlide!$H86)</f>
        <v>17507.391405746079</v>
      </c>
      <c r="N57">
        <f>PnL(($D$7*(1+N$2)),$E57,(RiskSlide!$A$7),($G57+N$3),((RiskSlide!$A$10)/260),$C57,$B57,RiskSlide!$H86)</f>
        <v>17507.391405745944</v>
      </c>
      <c r="O57">
        <f>PnL(($D$7*(1+O$2)),$E57,(RiskSlide!$A$7),($G57+O$3),((RiskSlide!$A$10)/260),$C57,$B57,RiskSlide!$H86)</f>
        <v>17507.391405745875</v>
      </c>
      <c r="P57">
        <f>PnL(($D$7*(1+P$2)),$E57,(RiskSlide!$A$7),($G57+P$3),((RiskSlide!$A$10)/260),$C57,$B57,RiskSlide!$H86)</f>
        <v>17507.391405745875</v>
      </c>
      <c r="Q57">
        <f>PnL(($D$7*(1+Q$2)),$E57,(RiskSlide!$A$7),($G57+Q$3),((RiskSlide!$A$10)/260),$C57,$B57,RiskSlide!$H86)</f>
        <v>17507.391405745897</v>
      </c>
      <c r="R57">
        <f>PnL(($D$7*(1+R$2)),$E57,(RiskSlide!$A$7),($G57+R$3),((RiskSlide!$A$10)/260),$C57,$B57,RiskSlide!$H86)</f>
        <v>17507.391405745897</v>
      </c>
      <c r="S57">
        <f>PnL(($D$7*(1+S$2)),$E57,(RiskSlide!$A$7),($G57+S$3),((RiskSlide!$A$10)/260),$C57,$B57,RiskSlide!$H86)</f>
        <v>17507.391405745897</v>
      </c>
      <c r="T57">
        <f>PnL(($D$7*(1+T$2)),$E57,(RiskSlide!$A$7),($G57+T$3),((RiskSlide!$A$10)/260),$C57,$B57,RiskSlide!$H86)</f>
        <v>8615.4143986318104</v>
      </c>
      <c r="U57">
        <f>PnL(($D$7*(1+U$2)),$E57,(RiskSlide!$A$7),($G57+U$3),((RiskSlide!$A$10)/260),$C57,$B57,RiskSlide!$H86)</f>
        <v>8599.6797769717887</v>
      </c>
      <c r="V57">
        <f>PnL(($D$7*(1+V$2)),$E57,(RiskSlide!$A$7),($G57+V$3),((RiskSlide!$A$10)/260),$C57,$B57,RiskSlide!$H86)</f>
        <v>8598.1296865504191</v>
      </c>
      <c r="W57">
        <f>PnL(($D$7*(1+W$2)),$E57,(RiskSlide!$A$7),($G57+W$3),((RiskSlide!$A$10)/260),$C57,$B57,RiskSlide!$H86)</f>
        <v>8598.1105618164747</v>
      </c>
      <c r="X57">
        <f>PnL(($D$7*(1+X$2)),$E57,(RiskSlide!$A$7),($G57+X$3),((RiskSlide!$A$10)/260),$C57,$B57,RiskSlide!$H86)</f>
        <v>8598.1002779200717</v>
      </c>
      <c r="Y57">
        <f>PnL(($D$7*(1+Y$2)),$E57,(RiskSlide!$A$7),($G57+Y$3),((RiskSlide!$A$10)/260),$C57,$B57,RiskSlide!$H86)</f>
        <v>8598.0951603988615</v>
      </c>
      <c r="Z57">
        <f>PnL(($D$7*(1+Z$2)),$E57,(RiskSlide!$A$7),($G57+Z$3),((RiskSlide!$A$10)/260),$C57,$B57,RiskSlide!$H86)</f>
        <v>8598.0928349993519</v>
      </c>
      <c r="AA57">
        <f>PnL(($D$7*(1+AA$2)),$E57,(RiskSlide!$A$7),($G57+AA$3),((RiskSlide!$A$10)/260),$C57,$B57,RiskSlide!$H86)</f>
        <v>8598.0914057462087</v>
      </c>
      <c r="AB57">
        <f>PnL(($D$7*(1+AB$2)),$E57,(RiskSlide!$A$7),($G57+AB$3),((RiskSlide!$A$10)/260),$C57,$B57,RiskSlide!$H86)</f>
        <v>8598.0914057459122</v>
      </c>
      <c r="AC57">
        <f>PnL(($D$7*(1+AC$2)),$E57,(RiskSlide!$A$7),($G57+AC$3),((RiskSlide!$A$10)/260),$C57,$B57,RiskSlide!$H86)</f>
        <v>2041.418276546824</v>
      </c>
      <c r="AD57">
        <f>PnL(($D$7*(1+AD$2)),$E57,(RiskSlide!$A$7),($G57+AD$3),((RiskSlide!$A$10)/260),$C57,$B57,RiskSlide!$H86)</f>
        <v>1755.7818362754688</v>
      </c>
      <c r="AE57">
        <f>PnL(($D$7*(1+AE$2)),$E57,(RiskSlide!$A$7),($G57+AE$3),((RiskSlide!$A$10)/260),$C57,$B57,RiskSlide!$H86)</f>
        <v>1584.754075372166</v>
      </c>
      <c r="AF57">
        <f>PnL(($D$7*(1+AF$2)),$E57,(RiskSlide!$A$7),($G57+AF$3),((RiskSlide!$A$10)/260),$C57,$B57,RiskSlide!$H86)</f>
        <v>1568.2849640340237</v>
      </c>
      <c r="AG57">
        <f>PnL(($D$7*(1+AG$2)),$E57,(RiskSlide!$A$7),($G57+AG$3),((RiskSlide!$A$10)/260),$C57,$B57,RiskSlide!$H86)</f>
        <v>1553.0742564269758</v>
      </c>
      <c r="AH57">
        <f>PnL(($D$7*(1+AH$2)),$E57,(RiskSlide!$A$7),($G57+AH$3),((RiskSlide!$A$10)/260),$C57,$B57,RiskSlide!$H86)</f>
        <v>1539.1657194469644</v>
      </c>
      <c r="AI57">
        <f>PnL(($D$7*(1+AI$2)),$E57,(RiskSlide!$A$7),($G57+AI$3),((RiskSlide!$A$10)/260),$C57,$B57,RiskSlide!$H86)</f>
        <v>1526.5965899533967</v>
      </c>
      <c r="AJ57">
        <f>PnL(($D$7*(1+AJ$2)),$E57,(RiskSlide!$A$7),($G57+AJ$3),((RiskSlide!$A$10)/260),$C57,$B57,RiskSlide!$H86)</f>
        <v>1473.977264694372</v>
      </c>
      <c r="AK57">
        <f>PnL(($D$7*(1+AK$2)),$E57,(RiskSlide!$A$7),($G57+AK$3),((RiskSlide!$A$10)/260),$C57,$B57,RiskSlide!$H86)</f>
        <v>1470.651405745889</v>
      </c>
      <c r="AL57">
        <f>PnL(($D$7*(1+AL$2)),$E57,(RiskSlide!$A$7),($G57+AL$3),((RiskSlide!$A$10)/260),$C57,$B57,RiskSlide!$H86)</f>
        <v>1360.9036708480289</v>
      </c>
      <c r="AM57">
        <f>PnL(($D$7*(1+AM$2)),$E57,(RiskSlide!$A$7),($G57+AM$3),((RiskSlide!$A$10)/260),$C57,$B57,RiskSlide!$H86)</f>
        <v>1021.4876650914903</v>
      </c>
      <c r="AN57">
        <f>PnL(($D$7*(1+AN$2)),$E57,(RiskSlide!$A$7),($G57+AN$3),((RiskSlide!$A$10)/260),$C57,$B57,RiskSlide!$H86)</f>
        <v>794.05326485393743</v>
      </c>
      <c r="AO57">
        <f>PnL(($D$7*(1+AO$2)),$E57,(RiskSlide!$A$7),($G57+AO$3),((RiskSlide!$A$10)/260),$C57,$B57,RiskSlide!$H86)</f>
        <v>769.76317050964553</v>
      </c>
      <c r="AP57">
        <f>PnL(($D$7*(1+AP$2)),$E57,(RiskSlide!$A$7),($G57+AP$3),((RiskSlide!$A$10)/260),$C57,$B57,RiskSlide!$H86)</f>
        <v>746.62011396262642</v>
      </c>
      <c r="AQ57">
        <f>PnL(($D$7*(1+AQ$2)),$E57,(RiskSlide!$A$7),($G57+AQ$3),((RiskSlide!$A$10)/260),$C57,$B57,RiskSlide!$H86)</f>
        <v>724.70391058650421</v>
      </c>
      <c r="AR57">
        <f>PnL(($D$7*(1+AR$2)),$E57,(RiskSlide!$A$7),($G57+AR$3),((RiskSlide!$A$10)/260),$C57,$B57,RiskSlide!$H86)</f>
        <v>704.09764880969306</v>
      </c>
      <c r="AS57">
        <f>PnL(($D$7*(1+AS$2)),$E57,(RiskSlide!$A$7),($G57+AS$3),((RiskSlide!$A$10)/260),$C57,$B57,RiskSlide!$H86)</f>
        <v>595.78261618075885</v>
      </c>
      <c r="AT57">
        <f>PnL(($D$7*(1+AT$2)),$E57,(RiskSlide!$A$7),($G57+AT$3),((RiskSlide!$A$10)/260),$C57,$B57,RiskSlide!$H86)</f>
        <v>579.72140582601241</v>
      </c>
      <c r="AU57">
        <f>PnL(($D$7*(1+AU$2)),$E57,(RiskSlide!$A$7),($G57+AU$3),((RiskSlide!$A$10)/260),$C57,$B57,RiskSlide!$H86)</f>
        <v>733.04562234923196</v>
      </c>
      <c r="AV57">
        <f>PnL(($D$7*(1+AV$2)),$E57,(RiskSlide!$A$7),($G57+AV$3),((RiskSlide!$A$10)/260),$C57,$B57,RiskSlide!$H86)</f>
        <v>346.37565380430715</v>
      </c>
      <c r="AW57">
        <f>PnL(($D$7*(1+AW$2)),$E57,(RiskSlide!$A$7),($G57+AW$3),((RiskSlide!$A$10)/260),$C57,$B57,RiskSlide!$H86)</f>
        <v>64.247515804549948</v>
      </c>
      <c r="AX57">
        <f>PnL(($D$7*(1+AX$2)),$E57,(RiskSlide!$A$7),($G57+AX$3),((RiskSlide!$A$10)/260),$C57,$B57,RiskSlide!$H86)</f>
        <v>31.721631808522943</v>
      </c>
      <c r="AY57">
        <f>PnL(($D$7*(1+AY$2)),$E57,(RiskSlide!$A$7),($G57+AY$3),((RiskSlide!$A$10)/260),$C57,$B57,RiskSlide!$H86)</f>
        <v>0</v>
      </c>
      <c r="AZ57">
        <f>PnL(($D$7*(1+AZ$2)),$E57,(RiskSlide!$A$7),($G57+AZ$3),((RiskSlide!$A$10)/260),$C57,$B57,RiskSlide!$H86)</f>
        <v>-30.839787686409181</v>
      </c>
      <c r="BA57">
        <f>PnL(($D$7*(1+BA$2)),$E57,(RiskSlide!$A$7),($G57+BA$3),((RiskSlide!$A$10)/260),$C57,$B57,RiskSlide!$H86)</f>
        <v>-60.711242413162836</v>
      </c>
      <c r="BB57">
        <f>PnL(($D$7*(1+BB$2)),$E57,(RiskSlide!$A$7),($G57+BB$3),((RiskSlide!$A$10)/260),$C57,$B57,RiskSlide!$H86)</f>
        <v>-250.91392471517793</v>
      </c>
      <c r="BC57">
        <f>PnL(($D$7*(1+BC$2)),$E57,(RiskSlide!$A$7),($G57+BC$3),((RiskSlide!$A$10)/260),$C57,$B57,RiskSlide!$H86)</f>
        <v>-311.20771602788864</v>
      </c>
      <c r="BD57">
        <f>PnL(($D$7*(1+BD$2)),$E57,(RiskSlide!$A$7),($G57+BD$3),((RiskSlide!$A$10)/260),$C57,$B57,RiskSlide!$H86)</f>
        <v>162.90367718254402</v>
      </c>
      <c r="BE57">
        <f>PnL(($D$7*(1+BE$2)),$E57,(RiskSlide!$A$7),($G57+BE$3),((RiskSlide!$A$10)/260),$C57,$B57,RiskSlide!$H86)</f>
        <v>-259.53450156828239</v>
      </c>
      <c r="BF57">
        <f>PnL(($D$7*(1+BF$2)),$E57,(RiskSlide!$A$7),($G57+BF$3),((RiskSlide!$A$10)/260),$C57,$B57,RiskSlide!$H86)</f>
        <v>-586.01183113328261</v>
      </c>
      <c r="BG57">
        <f>PnL(($D$7*(1+BG$2)),$E57,(RiskSlide!$A$7),($G57+BG$3),((RiskSlide!$A$10)/260),$C57,$B57,RiskSlide!$H86)</f>
        <v>-625.61007387778318</v>
      </c>
      <c r="BH57">
        <f>PnL(($D$7*(1+BH$2)),$E57,(RiskSlide!$A$7),($G57+BH$3),((RiskSlide!$A$10)/260),$C57,$B57,RiskSlide!$H86)</f>
        <v>-664.83892081157592</v>
      </c>
      <c r="BI57">
        <f>PnL(($D$7*(1+BI$2)),$E57,(RiskSlide!$A$7),($G57+BI$3),((RiskSlide!$A$10)/260),$C57,$B57,RiskSlide!$H86)</f>
        <v>-703.6559143488148</v>
      </c>
      <c r="BJ57">
        <f>PnL(($D$7*(1+BJ$2)),$E57,(RiskSlide!$A$7),($G57+BJ$3),((RiskSlide!$A$10)/260),$C57,$B57,RiskSlide!$H86)</f>
        <v>-742.01205792296605</v>
      </c>
      <c r="BK57">
        <f>PnL(($D$7*(1+BK$2)),$E57,(RiskSlide!$A$7),($G57+BK$3),((RiskSlide!$A$10)/260),$C57,$B57,RiskSlide!$H86)</f>
        <v>-1022.9226541372782</v>
      </c>
      <c r="BL57">
        <f>PnL(($D$7*(1+BL$2)),$E57,(RiskSlide!$A$7),($G57+BL$3),((RiskSlide!$A$10)/260),$C57,$B57,RiskSlide!$H86)</f>
        <v>-1201.4574915878484</v>
      </c>
      <c r="BM57">
        <f>PnL(($D$7*(1+BM$2)),$E57,(RiskSlide!$A$7),($G57+BM$3),((RiskSlide!$A$10)/260),$C57,$B57,RiskSlide!$H86)</f>
        <v>-346.0048418709107</v>
      </c>
      <c r="BN57">
        <f>PnL(($D$7*(1+BN$2)),$E57,(RiskSlide!$A$7),($G57+BN$3),((RiskSlide!$A$10)/260),$C57,$B57,RiskSlide!$H86)</f>
        <v>-788.76784269032214</v>
      </c>
      <c r="BO57">
        <f>PnL(($D$7*(1+BO$2)),$E57,(RiskSlide!$A$7),($G57+BO$3),((RiskSlide!$A$10)/260),$C57,$B57,RiskSlide!$H86)</f>
        <v>-1141.3258951837861</v>
      </c>
      <c r="BP57">
        <f>PnL(($D$7*(1+BP$2)),$E57,(RiskSlide!$A$7),($G57+BP$3),((RiskSlide!$A$10)/260),$C57,$B57,RiskSlide!$H86)</f>
        <v>-1185.2163733630164</v>
      </c>
      <c r="BQ57">
        <f>PnL(($D$7*(1+BQ$2)),$E57,(RiskSlide!$A$7),($G57+BQ$3),((RiskSlide!$A$10)/260),$C57,$B57,RiskSlide!$H86)</f>
        <v>-1229.0510514713333</v>
      </c>
      <c r="BR57">
        <f>PnL(($D$7*(1+BR$2)),$E57,(RiskSlide!$A$7),($G57+BR$3),((RiskSlide!$A$10)/260),$C57,$B57,RiskSlide!$H86)</f>
        <v>-1272.8229616799808</v>
      </c>
      <c r="BS57">
        <f>PnL(($D$7*(1+BS$2)),$E57,(RiskSlide!$A$7),($G57+BS$3),((RiskSlide!$A$10)/260),$C57,$B57,RiskSlide!$H86)</f>
        <v>-1316.5239340519065</v>
      </c>
      <c r="BT57">
        <f>PnL(($D$7*(1+BT$2)),$E57,(RiskSlide!$A$7),($G57+BT$3),((RiskSlide!$A$10)/260),$C57,$B57,RiskSlide!$H86)</f>
        <v>-1661.8898310085342</v>
      </c>
      <c r="BU57">
        <f>PnL(($D$7*(1+BU$2)),$E57,(RiskSlide!$A$7),($G57+BU$3),((RiskSlide!$A$10)/260),$C57,$B57,RiskSlide!$H86)</f>
        <v>-2046.2158435267611</v>
      </c>
      <c r="BV57">
        <f>PnL(($D$7*(1+BV$2)),$E57,(RiskSlide!$A$7),($G57+BV$3),((RiskSlide!$A$10)/260),$C57,$B57,RiskSlide!$H86)</f>
        <v>-2379.9672302369545</v>
      </c>
      <c r="BW57">
        <f>PnL(($D$7*(1+BW$2)),$E57,(RiskSlide!$A$7),($G57+BW$3),((RiskSlide!$A$10)/260),$C57,$B57,RiskSlide!$H86)</f>
        <v>-2536.6594411072756</v>
      </c>
      <c r="BX57">
        <f>PnL(($D$7*(1+BX$2)),$E57,(RiskSlide!$A$7),($G57+BX$3),((RiskSlide!$A$10)/260),$C57,$B57,RiskSlide!$H86)</f>
        <v>-2598.9105441831148</v>
      </c>
      <c r="BY57">
        <f>PnL(($D$7*(1+BY$2)),$E57,(RiskSlide!$A$7),($G57+BY$3),((RiskSlide!$A$10)/260),$C57,$B57,RiskSlide!$H86)</f>
        <v>-2602.9205537159628</v>
      </c>
      <c r="BZ57">
        <f>PnL(($D$7*(1+BZ$2)),$E57,(RiskSlide!$A$7),($G57+BZ$3),((RiskSlide!$A$10)/260),$C57,$B57,RiskSlide!$H86)</f>
        <v>-2606.2181726114845</v>
      </c>
      <c r="CA57">
        <f>PnL(($D$7*(1+CA$2)),$E57,(RiskSlide!$A$7),($G57+CA$3),((RiskSlide!$A$10)/260),$C57,$B57,RiskSlide!$H86)</f>
        <v>-2608.8640949750297</v>
      </c>
      <c r="CB57">
        <f>PnL(($D$7*(1+CB$2)),$E57,(RiskSlide!$A$7),($G57+CB$3),((RiskSlide!$A$10)/260),$C57,$B57,RiskSlide!$H86)</f>
        <v>-2610.9266812776891</v>
      </c>
      <c r="CC57">
        <f>PnL(($D$7*(1+CC$2)),$E57,(RiskSlide!$A$7),($G57+CC$3),((RiskSlide!$A$10)/260),$C57,$B57,RiskSlide!$H86)</f>
        <v>-2615.4722735936343</v>
      </c>
      <c r="CD57">
        <f>PnL(($D$7*(1+CD$2)),$E57,(RiskSlide!$A$7),($G57+CD$3),((RiskSlide!$A$10)/260),$C57,$B57,RiskSlide!$H86)</f>
        <v>-2615.4896251517812</v>
      </c>
      <c r="CE57">
        <f>PnL(($D$7*(1+CE$2)),$E57,(RiskSlide!$A$7),($G57+CE$3),((RiskSlide!$A$10)/260),$C57,$B57,RiskSlide!$H86)</f>
        <v>-2613.2570887934057</v>
      </c>
      <c r="CF57">
        <f>PnL(($D$7*(1+CF$2)),$E57,(RiskSlide!$A$7),($G57+CF$3),((RiskSlide!$A$10)/260),$C57,$B57,RiskSlide!$H86)</f>
        <v>-2615.4265312560683</v>
      </c>
      <c r="CG57">
        <f>PnL(($D$7*(1+CG$2)),$E57,(RiskSlide!$A$7),($G57+CG$3),((RiskSlide!$A$10)/260),$C57,$B57,RiskSlide!$H86)</f>
        <v>-2615.4894206748895</v>
      </c>
      <c r="CH57">
        <f>PnL(($D$7*(1+CH$2)),$E57,(RiskSlide!$A$7),($G57+CH$3),((RiskSlide!$A$10)/260),$C57,$B57,RiskSlide!$H86)</f>
        <v>-2615.4895557156965</v>
      </c>
      <c r="CI57">
        <f>PnL(($D$7*(1+CI$2)),$E57,(RiskSlide!$A$7),($G57+CI$3),((RiskSlide!$A$10)/260),$C57,$B57,RiskSlide!$H86)</f>
        <v>-2615.4896043387057</v>
      </c>
      <c r="CJ57">
        <f>PnL(($D$7*(1+CJ$2)),$E57,(RiskSlide!$A$7),($G57+CJ$3),((RiskSlide!$A$10)/260),$C57,$B57,RiskSlide!$H86)</f>
        <v>-2615.4896197593657</v>
      </c>
      <c r="CK57">
        <f>PnL(($D$7*(1+CK$2)),$E57,(RiskSlide!$A$7),($G57+CK$3),((RiskSlide!$A$10)/260),$C57,$B57,RiskSlide!$H86)</f>
        <v>-2615.4896239747541</v>
      </c>
      <c r="CL57">
        <f>PnL(($D$7*(1+CL$2)),$E57,(RiskSlide!$A$7),($G57+CL$3),((RiskSlide!$A$10)/260),$C57,$B57,RiskSlide!$H86)</f>
        <v>-2615.4896251517812</v>
      </c>
      <c r="CM57">
        <f>PnL(($D$7*(1+CM$2)),$E57,(RiskSlide!$A$7),($G57+CM$3),((RiskSlide!$A$10)/260),$C57,$B57,RiskSlide!$H86)</f>
        <v>-2615.4896251517812</v>
      </c>
    </row>
    <row r="58" spans="1:91" x14ac:dyDescent="0.25">
      <c r="A58" t="s">
        <v>53</v>
      </c>
      <c r="B58">
        <v>-33</v>
      </c>
      <c r="C58">
        <v>1</v>
      </c>
      <c r="E58">
        <v>1810</v>
      </c>
      <c r="F58">
        <v>3.5000000000000001E-3</v>
      </c>
      <c r="G58">
        <v>0.122173</v>
      </c>
      <c r="K58">
        <f>PnL(($D$7*(1+K$2)),$E58,(RiskSlide!$A$7),($G58+K$3),((RiskSlide!$A$10)/260),$C58,$B58,RiskSlide!$H87)</f>
        <v>3528.8967044662436</v>
      </c>
      <c r="L58">
        <f>PnL(($D$7*(1+L$2)),$E58,(RiskSlide!$A$7),($G58+L$3),((RiskSlide!$A$10)/260),$C58,$B58,RiskSlide!$H87)</f>
        <v>3528.9882414187973</v>
      </c>
      <c r="M58">
        <f>PnL(($D$7*(1+M$2)),$E58,(RiskSlide!$A$7),($G58+M$3),((RiskSlide!$A$10)/260),$C58,$B58,RiskSlide!$H87)</f>
        <v>3528.9883151374656</v>
      </c>
      <c r="N58">
        <f>PnL(($D$7*(1+N$2)),$E58,(RiskSlide!$A$7),($G58+N$3),((RiskSlide!$A$10)/260),$C58,$B58,RiskSlide!$H87)</f>
        <v>3528.9883151378972</v>
      </c>
      <c r="O58">
        <f>PnL(($D$7*(1+O$2)),$E58,(RiskSlide!$A$7),($G58+O$3),((RiskSlide!$A$10)/260),$C58,$B58,RiskSlide!$H87)</f>
        <v>3528.9883151379418</v>
      </c>
      <c r="P58">
        <f>PnL(($D$7*(1+P$2)),$E58,(RiskSlide!$A$7),($G58+P$3),((RiskSlide!$A$10)/260),$C58,$B58,RiskSlide!$H87)</f>
        <v>3528.9883151379454</v>
      </c>
      <c r="Q58">
        <f>PnL(($D$7*(1+Q$2)),$E58,(RiskSlide!$A$7),($G58+Q$3),((RiskSlide!$A$10)/260),$C58,$B58,RiskSlide!$H87)</f>
        <v>3528.9883151379454</v>
      </c>
      <c r="R58">
        <f>PnL(($D$7*(1+R$2)),$E58,(RiskSlide!$A$7),($G58+R$3),((RiskSlide!$A$10)/260),$C58,$B58,RiskSlide!$H87)</f>
        <v>3528.9883151379454</v>
      </c>
      <c r="S58">
        <f>PnL(($D$7*(1+S$2)),$E58,(RiskSlide!$A$7),($G58+S$3),((RiskSlide!$A$10)/260),$C58,$B58,RiskSlide!$H87)</f>
        <v>3528.9883151379454</v>
      </c>
      <c r="T58">
        <f>PnL(($D$7*(1+T$2)),$E58,(RiskSlide!$A$7),($G58+T$3),((RiskSlide!$A$10)/260),$C58,$B58,RiskSlide!$H87)</f>
        <v>3330.0691551687182</v>
      </c>
      <c r="U58">
        <f>PnL(($D$7*(1+U$2)),$E58,(RiskSlide!$A$7),($G58+U$3),((RiskSlide!$A$10)/260),$C58,$B58,RiskSlide!$H87)</f>
        <v>3514.3743288852079</v>
      </c>
      <c r="V58">
        <f>PnL(($D$7*(1+V$2)),$E58,(RiskSlide!$A$7),($G58+V$3),((RiskSlide!$A$10)/260),$C58,$B58,RiskSlide!$H87)</f>
        <v>3528.7530607376566</v>
      </c>
      <c r="W58">
        <f>PnL(($D$7*(1+W$2)),$E58,(RiskSlide!$A$7),($G58+W$3),((RiskSlide!$A$10)/260),$C58,$B58,RiskSlide!$H87)</f>
        <v>3528.8797839386252</v>
      </c>
      <c r="X58">
        <f>PnL(($D$7*(1+X$2)),$E58,(RiskSlide!$A$7),($G58+X$3),((RiskSlide!$A$10)/260),$C58,$B58,RiskSlide!$H87)</f>
        <v>3528.9424862562309</v>
      </c>
      <c r="Y58">
        <f>PnL(($D$7*(1+Y$2)),$E58,(RiskSlide!$A$7),($G58+Y$3),((RiskSlide!$A$10)/260),$C58,$B58,RiskSlide!$H87)</f>
        <v>3528.9708655204795</v>
      </c>
      <c r="Z58">
        <f>PnL(($D$7*(1+Z$2)),$E58,(RiskSlide!$A$7),($G58+Z$3),((RiskSlide!$A$10)/260),$C58,$B58,RiskSlide!$H87)</f>
        <v>3528.9824331445675</v>
      </c>
      <c r="AA58">
        <f>PnL(($D$7*(1+AA$2)),$E58,(RiskSlide!$A$7),($G58+AA$3),((RiskSlide!$A$10)/260),$C58,$B58,RiskSlide!$H87)</f>
        <v>3528.9883151378158</v>
      </c>
      <c r="AB58">
        <f>PnL(($D$7*(1+AB$2)),$E58,(RiskSlide!$A$7),($G58+AB$3),((RiskSlide!$A$10)/260),$C58,$B58,RiskSlide!$H87)</f>
        <v>3528.9883151379454</v>
      </c>
      <c r="AC58">
        <f>PnL(($D$7*(1+AC$2)),$E58,(RiskSlide!$A$7),($G58+AC$3),((RiskSlide!$A$10)/260),$C58,$B58,RiskSlide!$H87)</f>
        <v>-4171.7662747068598</v>
      </c>
      <c r="AD58">
        <f>PnL(($D$7*(1+AD$2)),$E58,(RiskSlide!$A$7),($G58+AD$3),((RiskSlide!$A$10)/260),$C58,$B58,RiskSlide!$H87)</f>
        <v>10.064084387246908</v>
      </c>
      <c r="AE58">
        <f>PnL(($D$7*(1+AE$2)),$E58,(RiskSlide!$A$7),($G58+AE$3),((RiskSlide!$A$10)/260),$C58,$B58,RiskSlide!$H87)</f>
        <v>2311.1350901150772</v>
      </c>
      <c r="AF58">
        <f>PnL(($D$7*(1+AF$2)),$E58,(RiskSlide!$A$7),($G58+AF$3),((RiskSlide!$A$10)/260),$C58,$B58,RiskSlide!$H87)</f>
        <v>2515.3153848031416</v>
      </c>
      <c r="AG58">
        <f>PnL(($D$7*(1+AG$2)),$E58,(RiskSlide!$A$7),($G58+AG$3),((RiskSlide!$A$10)/260),$C58,$B58,RiskSlide!$H87)</f>
        <v>2699.30212325501</v>
      </c>
      <c r="AH58">
        <f>PnL(($D$7*(1+AH$2)),$E58,(RiskSlide!$A$7),($G58+AH$3),((RiskSlide!$A$10)/260),$C58,$B58,RiskSlide!$H87)</f>
        <v>2862.9002595906272</v>
      </c>
      <c r="AI58">
        <f>PnL(($D$7*(1+AI$2)),$E58,(RiskSlide!$A$7),($G58+AI$3),((RiskSlide!$A$10)/260),$C58,$B58,RiskSlide!$H87)</f>
        <v>3006.1064491313568</v>
      </c>
      <c r="AJ58">
        <f>PnL(($D$7*(1+AJ$2)),$E58,(RiskSlide!$A$7),($G58+AJ$3),((RiskSlide!$A$10)/260),$C58,$B58,RiskSlide!$H87)</f>
        <v>3512.9807041860695</v>
      </c>
      <c r="AK58">
        <f>PnL(($D$7*(1+AK$2)),$E58,(RiskSlide!$A$7),($G58+AK$3),((RiskSlide!$A$10)/260),$C58,$B58,RiskSlide!$H87)</f>
        <v>3528.9883151379454</v>
      </c>
      <c r="AL58">
        <f>PnL(($D$7*(1+AL$2)),$E58,(RiskSlide!$A$7),($G58+AL$3),((RiskSlide!$A$10)/260),$C58,$B58,RiskSlide!$H87)</f>
        <v>-7180.9388568391087</v>
      </c>
      <c r="AM58">
        <f>PnL(($D$7*(1+AM$2)),$E58,(RiskSlide!$A$7),($G58+AM$3),((RiskSlide!$A$10)/260),$C58,$B58,RiskSlide!$H87)</f>
        <v>-2079.8891764945524</v>
      </c>
      <c r="AN58">
        <f>PnL(($D$7*(1+AN$2)),$E58,(RiskSlide!$A$7),($G58+AN$3),((RiskSlide!$A$10)/260),$C58,$B58,RiskSlide!$H87)</f>
        <v>1119.7419512011124</v>
      </c>
      <c r="AO58">
        <f>PnL(($D$7*(1+AO$2)),$E58,(RiskSlide!$A$7),($G58+AO$3),((RiskSlide!$A$10)/260),$C58,$B58,RiskSlide!$H87)</f>
        <v>1440.9899927586182</v>
      </c>
      <c r="AP58">
        <f>PnL(($D$7*(1+AP$2)),$E58,(RiskSlide!$A$7),($G58+AP$3),((RiskSlide!$A$10)/260),$C58,$B58,RiskSlide!$H87)</f>
        <v>1741.3315271376107</v>
      </c>
      <c r="AQ58">
        <f>PnL(($D$7*(1+AQ$2)),$E58,(RiskSlide!$A$7),($G58+AQ$3),((RiskSlide!$A$10)/260),$C58,$B58,RiskSlide!$H87)</f>
        <v>2019.7209047484037</v>
      </c>
      <c r="AR58">
        <f>PnL(($D$7*(1+AR$2)),$E58,(RiskSlide!$A$7),($G58+AR$3),((RiskSlide!$A$10)/260),$C58,$B58,RiskSlide!$H87)</f>
        <v>2275.1599060298668</v>
      </c>
      <c r="AS58">
        <f>PnL(($D$7*(1+AS$2)),$E58,(RiskSlide!$A$7),($G58+AS$3),((RiskSlide!$A$10)/260),$C58,$B58,RiskSlide!$H87)</f>
        <v>3433.312536473074</v>
      </c>
      <c r="AT58">
        <f>PnL(($D$7*(1+AT$2)),$E58,(RiskSlide!$A$7),($G58+AT$3),((RiskSlide!$A$10)/260),$C58,$B58,RiskSlide!$H87)</f>
        <v>3528.9883151379117</v>
      </c>
      <c r="AU58">
        <f>PnL(($D$7*(1+AU$2)),$E58,(RiskSlide!$A$7),($G58+AU$3),((RiskSlide!$A$10)/260),$C58,$B58,RiskSlide!$H87)</f>
        <v>-11005.362538768586</v>
      </c>
      <c r="AV58">
        <f>PnL(($D$7*(1+AV$2)),$E58,(RiskSlide!$A$7),($G58+AV$3),((RiskSlide!$A$10)/260),$C58,$B58,RiskSlide!$H87)</f>
        <v>-5043.6755746152667</v>
      </c>
      <c r="AW58">
        <f>PnL(($D$7*(1+AW$2)),$E58,(RiskSlide!$A$7),($G58+AW$3),((RiskSlide!$A$10)/260),$C58,$B58,RiskSlide!$H87)</f>
        <v>-897.76976057137858</v>
      </c>
      <c r="AX58">
        <f>PnL(($D$7*(1+AX$2)),$E58,(RiskSlide!$A$7),($G58+AX$3),((RiskSlide!$A$10)/260),$C58,$B58,RiskSlide!$H87)</f>
        <v>-440.22870276447748</v>
      </c>
      <c r="AY58">
        <f>PnL(($D$7*(1+AY$2)),$E58,(RiskSlide!$A$7),($G58+AY$3),((RiskSlide!$A$10)/260),$C58,$B58,RiskSlide!$H87)</f>
        <v>0</v>
      </c>
      <c r="AZ58">
        <f>PnL(($D$7*(1+AZ$2)),$E58,(RiskSlide!$A$7),($G58+AZ$3),((RiskSlide!$A$10)/260),$C58,$B58,RiskSlide!$H87)</f>
        <v>421.48607153085322</v>
      </c>
      <c r="BA58">
        <f>PnL(($D$7*(1+BA$2)),$E58,(RiskSlide!$A$7),($G58+BA$3),((RiskSlide!$A$10)/260),$C58,$B58,RiskSlide!$H87)</f>
        <v>822.68796142261203</v>
      </c>
      <c r="BB58">
        <f>PnL(($D$7*(1+BB$2)),$E58,(RiskSlide!$A$7),($G58+BB$3),((RiskSlide!$A$10)/260),$C58,$B58,RiskSlide!$H87)</f>
        <v>3093.9169506655203</v>
      </c>
      <c r="BC58">
        <f>PnL(($D$7*(1+BC$2)),$E58,(RiskSlide!$A$7),($G58+BC$3),((RiskSlide!$A$10)/260),$C58,$B58,RiskSlide!$H87)</f>
        <v>3528.9883058772307</v>
      </c>
      <c r="BD58">
        <f>PnL(($D$7*(1+BD$2)),$E58,(RiskSlide!$A$7),($G58+BD$3),((RiskSlide!$A$10)/260),$C58,$B58,RiskSlide!$H87)</f>
        <v>-15741.209129964051</v>
      </c>
      <c r="BE58">
        <f>PnL(($D$7*(1+BE$2)),$E58,(RiskSlide!$A$7),($G58+BE$3),((RiskSlide!$A$10)/260),$C58,$B58,RiskSlide!$H87)</f>
        <v>-9064.0886146079702</v>
      </c>
      <c r="BF58">
        <f>PnL(($D$7*(1+BF$2)),$E58,(RiskSlide!$A$7),($G58+BF$3),((RiskSlide!$A$10)/260),$C58,$B58,RiskSlide!$H87)</f>
        <v>-4059.1068109547396</v>
      </c>
      <c r="BG58">
        <f>PnL(($D$7*(1+BG$2)),$E58,(RiskSlide!$A$7),($G58+BG$3),((RiskSlide!$A$10)/260),$C58,$B58,RiskSlide!$H87)</f>
        <v>-3468.3588844447913</v>
      </c>
      <c r="BH58">
        <f>PnL(($D$7*(1+BH$2)),$E58,(RiskSlide!$A$7),($G58+BH$3),((RiskSlide!$A$10)/260),$C58,$B58,RiskSlide!$H87)</f>
        <v>-2888.0735769491193</v>
      </c>
      <c r="BI58">
        <f>PnL(($D$7*(1+BI$2)),$E58,(RiskSlide!$A$7),($G58+BI$3),((RiskSlide!$A$10)/260),$C58,$B58,RiskSlide!$H87)</f>
        <v>-2319.367916940098</v>
      </c>
      <c r="BJ58">
        <f>PnL(($D$7*(1+BJ$2)),$E58,(RiskSlide!$A$7),($G58+BJ$3),((RiskSlide!$A$10)/260),$C58,$B58,RiskSlide!$H87)</f>
        <v>-1763.51086891367</v>
      </c>
      <c r="BK58">
        <f>PnL(($D$7*(1+BK$2)),$E58,(RiskSlide!$A$7),($G58+BK$3),((RiskSlide!$A$10)/260),$C58,$B58,RiskSlide!$H87)</f>
        <v>1997.510795869465</v>
      </c>
      <c r="BL58">
        <f>PnL(($D$7*(1+BL$2)),$E58,(RiskSlide!$A$7),($G58+BL$3),((RiskSlide!$A$10)/260),$C58,$B58,RiskSlide!$H87)</f>
        <v>3528.8826892490442</v>
      </c>
      <c r="BM58">
        <f>PnL(($D$7*(1+BM$2)),$E58,(RiskSlide!$A$7),($G58+BM$3),((RiskSlide!$A$10)/260),$C58,$B58,RiskSlide!$H87)</f>
        <v>-21462.716151716017</v>
      </c>
      <c r="BN58">
        <f>PnL(($D$7*(1+BN$2)),$E58,(RiskSlide!$A$7),($G58+BN$3),((RiskSlide!$A$10)/260),$C58,$B58,RiskSlide!$H87)</f>
        <v>-14293.659160294283</v>
      </c>
      <c r="BO58">
        <f>PnL(($D$7*(1+BO$2)),$E58,(RiskSlide!$A$7),($G58+BO$3),((RiskSlide!$A$10)/260),$C58,$B58,RiskSlide!$H87)</f>
        <v>-8663.6463732904813</v>
      </c>
      <c r="BP58">
        <f>PnL(($D$7*(1+BP$2)),$E58,(RiskSlide!$A$7),($G58+BP$3),((RiskSlide!$A$10)/260),$C58,$B58,RiskSlide!$H87)</f>
        <v>-7971.2234005970404</v>
      </c>
      <c r="BQ58">
        <f>PnL(($D$7*(1+BQ$2)),$E58,(RiskSlide!$A$7),($G58+BQ$3),((RiskSlide!$A$10)/260),$C58,$B58,RiskSlide!$H87)</f>
        <v>-7282.3062882173017</v>
      </c>
      <c r="BR58">
        <f>PnL(($D$7*(1+BR$2)),$E58,(RiskSlide!$A$7),($G58+BR$3),((RiskSlide!$A$10)/260),$C58,$B58,RiskSlide!$H87)</f>
        <v>-6597.322787684584</v>
      </c>
      <c r="BS58">
        <f>PnL(($D$7*(1+BS$2)),$E58,(RiskSlide!$A$7),($G58+BS$3),((RiskSlide!$A$10)/260),$C58,$B58,RiskSlide!$H87)</f>
        <v>-5916.7719820509092</v>
      </c>
      <c r="BT58">
        <f>PnL(($D$7*(1+BT$2)),$E58,(RiskSlide!$A$7),($G58+BT$3),((RiskSlide!$A$10)/260),$C58,$B58,RiskSlide!$H87)</f>
        <v>-732.3228409057009</v>
      </c>
      <c r="BU58">
        <f>PnL(($D$7*(1+BU$2)),$E58,(RiskSlide!$A$7),($G58+BU$3),((RiskSlide!$A$10)/260),$C58,$B58,RiskSlide!$H87)</f>
        <v>3469.8326930459662</v>
      </c>
      <c r="BV58">
        <f>PnL(($D$7*(1+BV$2)),$E58,(RiskSlide!$A$7),($G58+BV$3),((RiskSlide!$A$10)/260),$C58,$B58,RiskSlide!$H87)</f>
        <v>-101861.11974252225</v>
      </c>
      <c r="BW58">
        <f>PnL(($D$7*(1+BW$2)),$E58,(RiskSlide!$A$7),($G58+BW$3),((RiskSlide!$A$10)/260),$C58,$B58,RiskSlide!$H87)</f>
        <v>-98884.568608908419</v>
      </c>
      <c r="BX58">
        <f>PnL(($D$7*(1+BX$2)),$E58,(RiskSlide!$A$7),($G58+BX$3),((RiskSlide!$A$10)/260),$C58,$B58,RiskSlide!$H87)</f>
        <v>-97600.915478932497</v>
      </c>
      <c r="BY58">
        <f>PnL(($D$7*(1+BY$2)),$E58,(RiskSlide!$A$7),($G58+BY$3),((RiskSlide!$A$10)/260),$C58,$B58,RiskSlide!$H87)</f>
        <v>-97511.36386718163</v>
      </c>
      <c r="BZ58">
        <f>PnL(($D$7*(1+BZ$2)),$E58,(RiskSlide!$A$7),($G58+BZ$3),((RiskSlide!$A$10)/260),$C58,$B58,RiskSlide!$H87)</f>
        <v>-97436.104600921157</v>
      </c>
      <c r="CA58">
        <f>PnL(($D$7*(1+CA$2)),$E58,(RiskSlide!$A$7),($G58+CA$3),((RiskSlide!$A$10)/260),$C58,$B58,RiskSlide!$H87)</f>
        <v>-97374.245317187422</v>
      </c>
      <c r="CB58">
        <f>PnL(($D$7*(1+CB$2)),$E58,(RiskSlide!$A$7),($G58+CB$3),((RiskSlide!$A$10)/260),$C58,$B58,RiskSlide!$H87)</f>
        <v>-97324.711947741525</v>
      </c>
      <c r="CC58">
        <f>PnL(($D$7*(1+CC$2)),$E58,(RiskSlide!$A$7),($G58+CC$3),((RiskSlide!$A$10)/260),$C58,$B58,RiskSlide!$H87)</f>
        <v>-97204.95640208332</v>
      </c>
      <c r="CD58">
        <f>PnL(($D$7*(1+CD$2)),$E58,(RiskSlide!$A$7),($G58+CD$3),((RiskSlide!$A$10)/260),$C58,$B58,RiskSlide!$H87)</f>
        <v>-97204.268893859902</v>
      </c>
      <c r="CE58">
        <f>PnL(($D$7*(1+CE$2)),$E58,(RiskSlide!$A$7),($G58+CE$3),((RiskSlide!$A$10)/260),$C58,$B58,RiskSlide!$H87)</f>
        <v>-244255.40130408941</v>
      </c>
      <c r="CF58">
        <f>PnL(($D$7*(1+CF$2)),$E58,(RiskSlide!$A$7),($G58+CF$3),((RiskSlide!$A$10)/260),$C58,$B58,RiskSlide!$H87)</f>
        <v>-244209.22511859628</v>
      </c>
      <c r="CG58">
        <f>PnL(($D$7*(1+CG$2)),$E58,(RiskSlide!$A$7),($G58+CG$3),((RiskSlide!$A$10)/260),$C58,$B58,RiskSlide!$H87)</f>
        <v>-244207.72457467605</v>
      </c>
      <c r="CH58">
        <f>PnL(($D$7*(1+CH$2)),$E58,(RiskSlide!$A$7),($G58+CH$3),((RiskSlide!$A$10)/260),$C58,$B58,RiskSlide!$H87)</f>
        <v>-244207.72087071658</v>
      </c>
      <c r="CI58">
        <f>PnL(($D$7*(1+CI$2)),$E58,(RiskSlide!$A$7),($G58+CI$3),((RiskSlide!$A$10)/260),$C58,$B58,RiskSlide!$H87)</f>
        <v>-244207.71950185983</v>
      </c>
      <c r="CJ58">
        <f>PnL(($D$7*(1+CJ$2)),$E58,(RiskSlide!$A$7),($G58+CJ$3),((RiskSlide!$A$10)/260),$C58,$B58,RiskSlide!$H87)</f>
        <v>-244207.71905568324</v>
      </c>
      <c r="CK58">
        <f>PnL(($D$7*(1+CK$2)),$E58,(RiskSlide!$A$7),($G58+CK$3),((RiskSlide!$A$10)/260),$C58,$B58,RiskSlide!$H87)</f>
        <v>-244207.71893018141</v>
      </c>
      <c r="CL58">
        <f>PnL(($D$7*(1+CL$2)),$E58,(RiskSlide!$A$7),($G58+CL$3),((RiskSlide!$A$10)/260),$C58,$B58,RiskSlide!$H87)</f>
        <v>-244207.71889386003</v>
      </c>
      <c r="CM58">
        <f>PnL(($D$7*(1+CM$2)),$E58,(RiskSlide!$A$7),($G58+CM$3),((RiskSlide!$A$10)/260),$C58,$B58,RiskSlide!$H87)</f>
        <v>-244207.71889386003</v>
      </c>
    </row>
    <row r="59" spans="1:91" x14ac:dyDescent="0.25">
      <c r="A59" t="s">
        <v>54</v>
      </c>
      <c r="B59">
        <v>18</v>
      </c>
      <c r="C59">
        <v>0</v>
      </c>
      <c r="E59">
        <v>1810</v>
      </c>
      <c r="F59">
        <v>3.5000000000000001E-3</v>
      </c>
      <c r="G59">
        <v>0.122173</v>
      </c>
      <c r="K59">
        <f>PnL(($D$7*(1+K$2)),$E59,(RiskSlide!$A$7),($G59+K$3),((RiskSlide!$A$10)/260),$C59,$B59,RiskSlide!$H88)</f>
        <v>158442.54725210962</v>
      </c>
      <c r="L59">
        <f>PnL(($D$7*(1+L$2)),$E59,(RiskSlide!$A$7),($G59+L$3),((RiskSlide!$A$10)/260),$C59,$B59,RiskSlide!$H88)</f>
        <v>158442.49732286247</v>
      </c>
      <c r="M59">
        <f>PnL(($D$7*(1+M$2)),$E59,(RiskSlide!$A$7),($G59+M$3),((RiskSlide!$A$10)/260),$C59,$B59,RiskSlide!$H88)</f>
        <v>158442.49728265248</v>
      </c>
      <c r="N59">
        <f>PnL(($D$7*(1+N$2)),$E59,(RiskSlide!$A$7),($G59+N$3),((RiskSlide!$A$10)/260),$C59,$B59,RiskSlide!$H88)</f>
        <v>158442.49728265227</v>
      </c>
      <c r="O59">
        <f>PnL(($D$7*(1+O$2)),$E59,(RiskSlide!$A$7),($G59+O$3),((RiskSlide!$A$10)/260),$C59,$B59,RiskSlide!$H88)</f>
        <v>158442.49728265207</v>
      </c>
      <c r="P59">
        <f>PnL(($D$7*(1+P$2)),$E59,(RiskSlide!$A$7),($G59+P$3),((RiskSlide!$A$10)/260),$C59,$B59,RiskSlide!$H88)</f>
        <v>158442.49728265207</v>
      </c>
      <c r="Q59">
        <f>PnL(($D$7*(1+Q$2)),$E59,(RiskSlide!$A$7),($G59+Q$3),((RiskSlide!$A$10)/260),$C59,$B59,RiskSlide!$H88)</f>
        <v>158442.49728265207</v>
      </c>
      <c r="R59">
        <f>PnL(($D$7*(1+R$2)),$E59,(RiskSlide!$A$7),($G59+R$3),((RiskSlide!$A$10)/260),$C59,$B59,RiskSlide!$H88)</f>
        <v>158442.49728265207</v>
      </c>
      <c r="S59">
        <f>PnL(($D$7*(1+S$2)),$E59,(RiskSlide!$A$7),($G59+S$3),((RiskSlide!$A$10)/260),$C59,$B59,RiskSlide!$H88)</f>
        <v>158442.49728265207</v>
      </c>
      <c r="T59">
        <f>PnL(($D$7*(1+T$2)),$E59,(RiskSlide!$A$7),($G59+T$3),((RiskSlide!$A$10)/260),$C59,$B59,RiskSlide!$H88)</f>
        <v>78367.29864263536</v>
      </c>
      <c r="U59">
        <f>PnL(($D$7*(1+U$2)),$E59,(RiskSlide!$A$7),($G59+U$3),((RiskSlide!$A$10)/260),$C59,$B59,RiskSlide!$H88)</f>
        <v>78266.768547881045</v>
      </c>
      <c r="V59">
        <f>PnL(($D$7*(1+V$2)),$E59,(RiskSlide!$A$7),($G59+V$3),((RiskSlide!$A$10)/260),$C59,$B59,RiskSlide!$H88)</f>
        <v>78258.925603234165</v>
      </c>
      <c r="W59">
        <f>PnL(($D$7*(1+W$2)),$E59,(RiskSlide!$A$7),($G59+W$3),((RiskSlide!$A$10)/260),$C59,$B59,RiskSlide!$H88)</f>
        <v>78258.856481488008</v>
      </c>
      <c r="X59">
        <f>PnL(($D$7*(1+X$2)),$E59,(RiskSlide!$A$7),($G59+X$3),((RiskSlide!$A$10)/260),$C59,$B59,RiskSlide!$H88)</f>
        <v>78258.822280224267</v>
      </c>
      <c r="Y59">
        <f>PnL(($D$7*(1+Y$2)),$E59,(RiskSlide!$A$7),($G59+Y$3),((RiskSlide!$A$10)/260),$C59,$B59,RiskSlide!$H88)</f>
        <v>78258.806800625345</v>
      </c>
      <c r="Z59">
        <f>PnL(($D$7*(1+Z$2)),$E59,(RiskSlide!$A$7),($G59+Z$3),((RiskSlide!$A$10)/260),$C59,$B59,RiskSlide!$H88)</f>
        <v>78258.800491012269</v>
      </c>
      <c r="AA59">
        <f>PnL(($D$7*(1+AA$2)),$E59,(RiskSlide!$A$7),($G59+AA$3),((RiskSlide!$A$10)/260),$C59,$B59,RiskSlide!$H88)</f>
        <v>78258.797282652202</v>
      </c>
      <c r="AB59">
        <f>PnL(($D$7*(1+AB$2)),$E59,(RiskSlide!$A$7),($G59+AB$3),((RiskSlide!$A$10)/260),$C59,$B59,RiskSlide!$H88)</f>
        <v>78258.797282652202</v>
      </c>
      <c r="AC59">
        <f>PnL(($D$7*(1+AC$2)),$E59,(RiskSlide!$A$7),($G59+AC$3),((RiskSlide!$A$10)/260),$C59,$B59,RiskSlide!$H88)</f>
        <v>18312.248877113143</v>
      </c>
      <c r="AD59">
        <f>PnL(($D$7*(1+AD$2)),$E59,(RiskSlide!$A$7),($G59+AD$3),((RiskSlide!$A$10)/260),$C59,$B59,RiskSlide!$H88)</f>
        <v>16031.250499425347</v>
      </c>
      <c r="AE59">
        <f>PnL(($D$7*(1+AE$2)),$E59,(RiskSlide!$A$7),($G59+AE$3),((RiskSlide!$A$10)/260),$C59,$B59,RiskSlide!$H88)</f>
        <v>14776.120859937464</v>
      </c>
      <c r="AF59">
        <f>PnL(($D$7*(1+AF$2)),$E59,(RiskSlide!$A$7),($G59+AF$3),((RiskSlide!$A$10)/260),$C59,$B59,RiskSlide!$H88)</f>
        <v>14664.749790107522</v>
      </c>
      <c r="AG59">
        <f>PnL(($D$7*(1+AG$2)),$E59,(RiskSlide!$A$7),($G59+AG$3),((RiskSlide!$A$10)/260),$C59,$B59,RiskSlide!$H88)</f>
        <v>14564.393387315773</v>
      </c>
      <c r="AH59">
        <f>PnL(($D$7*(1+AH$2)),$E59,(RiskSlide!$A$7),($G59+AH$3),((RiskSlide!$A$10)/260),$C59,$B59,RiskSlide!$H88)</f>
        <v>14475.158040223732</v>
      </c>
      <c r="AI59">
        <f>PnL(($D$7*(1+AI$2)),$E59,(RiskSlide!$A$7),($G59+AI$3),((RiskSlide!$A$10)/260),$C59,$B59,RiskSlide!$H88)</f>
        <v>14397.045573201125</v>
      </c>
      <c r="AJ59">
        <f>PnL(($D$7*(1+AJ$2)),$E59,(RiskSlide!$A$7),($G59+AJ$3),((RiskSlide!$A$10)/260),$C59,$B59,RiskSlide!$H88)</f>
        <v>14120.56870680758</v>
      </c>
      <c r="AK59">
        <f>PnL(($D$7*(1+AK$2)),$E59,(RiskSlide!$A$7),($G59+AK$3),((RiskSlide!$A$10)/260),$C59,$B59,RiskSlide!$H88)</f>
        <v>14111.837282652186</v>
      </c>
      <c r="AL59">
        <f>PnL(($D$7*(1+AL$2)),$E59,(RiskSlide!$A$7),($G59+AL$3),((RiskSlide!$A$10)/260),$C59,$B59,RiskSlide!$H88)</f>
        <v>11935.245740094138</v>
      </c>
      <c r="AM59">
        <f>PnL(($D$7*(1+AM$2)),$E59,(RiskSlide!$A$7),($G59+AM$3),((RiskSlide!$A$10)/260),$C59,$B59,RiskSlide!$H88)</f>
        <v>9152.855005360947</v>
      </c>
      <c r="AN59">
        <f>PnL(($D$7*(1+AN$2)),$E59,(RiskSlide!$A$7),($G59+AN$3),((RiskSlide!$A$10)/260),$C59,$B59,RiskSlide!$H88)</f>
        <v>7407.6016629813921</v>
      </c>
      <c r="AO59">
        <f>PnL(($D$7*(1+AO$2)),$E59,(RiskSlide!$A$7),($G59+AO$3),((RiskSlide!$A$10)/260),$C59,$B59,RiskSlide!$H88)</f>
        <v>7232.3754584951985</v>
      </c>
      <c r="AP59">
        <f>PnL(($D$7*(1+AP$2)),$E59,(RiskSlide!$A$7),($G59+AP$3),((RiskSlide!$A$10)/260),$C59,$B59,RiskSlide!$H88)</f>
        <v>7068.552803379589</v>
      </c>
      <c r="AQ59">
        <f>PnL(($D$7*(1+AQ$2)),$E59,(RiskSlide!$A$7),($G59+AQ$3),((RiskSlide!$A$10)/260),$C59,$B59,RiskSlide!$H88)</f>
        <v>6916.7040519555712</v>
      </c>
      <c r="AR59">
        <f>PnL(($D$7*(1+AR$2)),$E59,(RiskSlide!$A$7),($G59+AR$3),((RiskSlide!$A$10)/260),$C59,$B59,RiskSlide!$H88)</f>
        <v>6777.3736876203429</v>
      </c>
      <c r="AS59">
        <f>PnL(($D$7*(1+AS$2)),$E59,(RiskSlide!$A$7),($G59+AS$3),((RiskSlide!$A$10)/260),$C59,$B59,RiskSlide!$H88)</f>
        <v>6145.6540710149284</v>
      </c>
      <c r="AT59">
        <f>PnL(($D$7*(1+AT$2)),$E59,(RiskSlide!$A$7),($G59+AT$3),((RiskSlide!$A$10)/260),$C59,$B59,RiskSlide!$H88)</f>
        <v>6093.4672826521592</v>
      </c>
      <c r="AU59">
        <f>PnL(($D$7*(1+AU$2)),$E59,(RiskSlide!$A$7),($G59+AU$3),((RiskSlide!$A$10)/260),$C59,$B59,RiskSlide!$H88)</f>
        <v>6002.925021146757</v>
      </c>
      <c r="AV59">
        <f>PnL(($D$7*(1+AV$2)),$E59,(RiskSlide!$A$7),($G59+AV$3),((RiskSlide!$A$10)/260),$C59,$B59,RiskSlide!$H88)</f>
        <v>2751.095767972015</v>
      </c>
      <c r="AW59">
        <f>PnL(($D$7*(1+AW$2)),$E59,(RiskSlide!$A$7),($G59+AW$3),((RiskSlide!$A$10)/260),$C59,$B59,RiskSlide!$H88)</f>
        <v>489.69259667560436</v>
      </c>
      <c r="AX59">
        <f>PnL(($D$7*(1+AX$2)),$E59,(RiskSlide!$A$7),($G59+AX$3),((RiskSlide!$A$10)/260),$C59,$B59,RiskSlide!$H88)</f>
        <v>240.12474696285153</v>
      </c>
      <c r="AY59">
        <f>PnL(($D$7*(1+AY$2)),$E59,(RiskSlide!$A$7),($G59+AY$3),((RiskSlide!$A$10)/260),$C59,$B59,RiskSlide!$H88)</f>
        <v>0</v>
      </c>
      <c r="AZ59">
        <f>PnL(($D$7*(1+AZ$2)),$E59,(RiskSlide!$A$7),($G59+AZ$3),((RiskSlide!$A$10)/260),$C59,$B59,RiskSlide!$H88)</f>
        <v>-229.90149356207894</v>
      </c>
      <c r="BA59">
        <f>PnL(($D$7*(1+BA$2)),$E59,(RiskSlide!$A$7),($G59+BA$3),((RiskSlide!$A$10)/260),$C59,$B59,RiskSlide!$H88)</f>
        <v>-448.73888804877424</v>
      </c>
      <c r="BB59">
        <f>PnL(($D$7*(1+BB$2)),$E59,(RiskSlide!$A$7),($G59+BB$3),((RiskSlide!$A$10)/260),$C59,$B59,RiskSlide!$H88)</f>
        <v>-1687.5910639992981</v>
      </c>
      <c r="BC59">
        <f>PnL(($D$7*(1+BC$2)),$E59,(RiskSlide!$A$7),($G59+BC$3),((RiskSlide!$A$10)/260),$C59,$B59,RiskSlide!$H88)</f>
        <v>-1924.9027122966254</v>
      </c>
      <c r="BD59">
        <f>PnL(($D$7*(1+BD$2)),$E59,(RiskSlide!$A$7),($G59+BD$3),((RiskSlide!$A$10)/260),$C59,$B59,RiskSlide!$H88)</f>
        <v>567.74407088955741</v>
      </c>
      <c r="BE59">
        <f>PnL(($D$7*(1+BE$2)),$E59,(RiskSlide!$A$7),($G59+BE$3),((RiskSlide!$A$10)/260),$C59,$B59,RiskSlide!$H88)</f>
        <v>-3074.3216647590089</v>
      </c>
      <c r="BF59">
        <f>PnL(($D$7*(1+BF$2)),$E59,(RiskSlide!$A$7),($G59+BF$3),((RiskSlide!$A$10)/260),$C59,$B59,RiskSlide!$H88)</f>
        <v>-5804.3117394789533</v>
      </c>
      <c r="BG59">
        <f>PnL(($D$7*(1+BG$2)),$E59,(RiskSlide!$A$7),($G59+BG$3),((RiskSlide!$A$10)/260),$C59,$B59,RiskSlide!$H88)</f>
        <v>-6126.5378812116523</v>
      </c>
      <c r="BH59">
        <f>PnL(($D$7*(1+BH$2)),$E59,(RiskSlide!$A$7),($G59+BH$3),((RiskSlide!$A$10)/260),$C59,$B59,RiskSlide!$H88)</f>
        <v>-6443.0571398452457</v>
      </c>
      <c r="BI59">
        <f>PnL(($D$7*(1+BI$2)),$E59,(RiskSlide!$A$7),($G59+BI$3),((RiskSlide!$A$10)/260),$C59,$B59,RiskSlide!$H88)</f>
        <v>-6753.2602271234055</v>
      </c>
      <c r="BJ59">
        <f>PnL(($D$7*(1+BJ$2)),$E59,(RiskSlide!$A$7),($G59+BJ$3),((RiskSlide!$A$10)/260),$C59,$B59,RiskSlide!$H88)</f>
        <v>-7056.4549805923662</v>
      </c>
      <c r="BK59">
        <f>PnL(($D$7*(1+BK$2)),$E59,(RiskSlide!$A$7),($G59+BK$3),((RiskSlide!$A$10)/260),$C59,$B59,RiskSlide!$H88)</f>
        <v>-9107.9213432012475</v>
      </c>
      <c r="BL59">
        <f>PnL(($D$7*(1+BL$2)),$E59,(RiskSlide!$A$7),($G59+BL$3),((RiskSlide!$A$10)/260),$C59,$B59,RiskSlide!$H88)</f>
        <v>-9943.2151032264992</v>
      </c>
      <c r="BM59">
        <f>PnL(($D$7*(1+BM$2)),$E59,(RiskSlide!$A$7),($G59+BM$3),((RiskSlide!$A$10)/260),$C59,$B59,RiskSlide!$H88)</f>
        <v>-4329.803917245863</v>
      </c>
      <c r="BN59">
        <f>PnL(($D$7*(1+BN$2)),$E59,(RiskSlide!$A$7),($G59+BN$3),((RiskSlide!$A$10)/260),$C59,$B59,RiskSlide!$H88)</f>
        <v>-8240.1986398391273</v>
      </c>
      <c r="BO59">
        <f>PnL(($D$7*(1+BO$2)),$E59,(RiskSlide!$A$7),($G59+BO$3),((RiskSlide!$A$10)/260),$C59,$B59,RiskSlide!$H88)</f>
        <v>-11311.114705477667</v>
      </c>
      <c r="BP59">
        <f>PnL(($D$7*(1+BP$2)),$E59,(RiskSlide!$A$7),($G59+BP$3),((RiskSlide!$A$10)/260),$C59,$B59,RiskSlide!$H88)</f>
        <v>-11688.799963310452</v>
      </c>
      <c r="BQ59">
        <f>PnL(($D$7*(1+BQ$2)),$E59,(RiskSlide!$A$7),($G59+BQ$3),((RiskSlide!$A$10)/260),$C59,$B59,RiskSlide!$H88)</f>
        <v>-12064.572933699605</v>
      </c>
      <c r="BR59">
        <f>PnL(($D$7*(1+BR$2)),$E59,(RiskSlide!$A$7),($G59+BR$3),((RiskSlide!$A$10)/260),$C59,$B59,RiskSlide!$H88)</f>
        <v>-12438.200297626441</v>
      </c>
      <c r="BS59">
        <f>PnL(($D$7*(1+BS$2)),$E59,(RiskSlide!$A$7),($G59+BS$3),((RiskSlide!$A$10)/260),$C59,$B59,RiskSlide!$H88)</f>
        <v>-12809.409827972286</v>
      </c>
      <c r="BT59">
        <f>PnL(($D$7*(1+BT$2)),$E59,(RiskSlide!$A$7),($G59+BT$3),((RiskSlide!$A$10)/260),$C59,$B59,RiskSlide!$H88)</f>
        <v>-15637.291177687599</v>
      </c>
      <c r="BU59">
        <f>PnL(($D$7*(1+BU$2)),$E59,(RiskSlide!$A$7),($G59+BU$3),((RiskSlide!$A$10)/260),$C59,$B59,RiskSlide!$H88)</f>
        <v>-17929.376014388527</v>
      </c>
      <c r="BV59">
        <f>PnL(($D$7*(1+BV$2)),$E59,(RiskSlide!$A$7),($G59+BV$3),((RiskSlide!$A$10)/260),$C59,$B59,RiskSlide!$H88)</f>
        <v>-24623.089231351649</v>
      </c>
      <c r="BW59">
        <f>PnL(($D$7*(1+BW$2)),$E59,(RiskSlide!$A$7),($G59+BW$3),((RiskSlide!$A$10)/260),$C59,$B59,RiskSlide!$H88)</f>
        <v>-26246.662576958934</v>
      </c>
      <c r="BX59">
        <f>PnL(($D$7*(1+BX$2)),$E59,(RiskSlide!$A$7),($G59+BX$3),((RiskSlide!$A$10)/260),$C59,$B59,RiskSlide!$H88)</f>
        <v>-26946.83701149136</v>
      </c>
      <c r="BY59">
        <f>PnL(($D$7*(1+BY$2)),$E59,(RiskSlide!$A$7),($G59+BY$3),((RiskSlide!$A$10)/260),$C59,$B59,RiskSlide!$H88)</f>
        <v>-26995.683345173697</v>
      </c>
      <c r="BZ59">
        <f>PnL(($D$7*(1+BZ$2)),$E59,(RiskSlide!$A$7),($G59+BZ$3),((RiskSlide!$A$10)/260),$C59,$B59,RiskSlide!$H88)</f>
        <v>-27036.733854043072</v>
      </c>
      <c r="CA59">
        <f>PnL(($D$7*(1+CA$2)),$E59,(RiskSlide!$A$7),($G59+CA$3),((RiskSlide!$A$10)/260),$C59,$B59,RiskSlide!$H88)</f>
        <v>-27070.475281534091</v>
      </c>
      <c r="CB59">
        <f>PnL(($D$7*(1+CB$2)),$E59,(RiskSlide!$A$7),($G59+CB$3),((RiskSlide!$A$10)/260),$C59,$B59,RiskSlide!$H88)</f>
        <v>-27097.493483050053</v>
      </c>
      <c r="CC59">
        <f>PnL(($D$7*(1+CC$2)),$E59,(RiskSlide!$A$7),($G59+CC$3),((RiskSlide!$A$10)/260),$C59,$B59,RiskSlide!$H88)</f>
        <v>-27162.814689772447</v>
      </c>
      <c r="CD59">
        <f>PnL(($D$7*(1+CD$2)),$E59,(RiskSlide!$A$7),($G59+CD$3),((RiskSlide!$A$10)/260),$C59,$B59,RiskSlide!$H88)</f>
        <v>-27163.189694258199</v>
      </c>
      <c r="CE59">
        <f>PnL(($D$7*(1+CE$2)),$E59,(RiskSlide!$A$7),($G59+CE$3),((RiskSlide!$A$10)/260),$C59,$B59,RiskSlide!$H88)</f>
        <v>-27137.181106860342</v>
      </c>
      <c r="CF59">
        <f>PnL(($D$7*(1+CF$2)),$E59,(RiskSlide!$A$7),($G59+CF$3),((RiskSlide!$A$10)/260),$C59,$B59,RiskSlide!$H88)</f>
        <v>-27162.368117129216</v>
      </c>
      <c r="CG59">
        <f>PnL(($D$7*(1+CG$2)),$E59,(RiskSlide!$A$7),($G59+CG$3),((RiskSlide!$A$10)/260),$C59,$B59,RiskSlide!$H88)</f>
        <v>-27163.186595631381</v>
      </c>
      <c r="CH59">
        <f>PnL(($D$7*(1+CH$2)),$E59,(RiskSlide!$A$7),($G59+CH$3),((RiskSlide!$A$10)/260),$C59,$B59,RiskSlide!$H88)</f>
        <v>-27163.188615972904</v>
      </c>
      <c r="CI59">
        <f>PnL(($D$7*(1+CI$2)),$E59,(RiskSlide!$A$7),($G59+CI$3),((RiskSlide!$A$10)/260),$C59,$B59,RiskSlide!$H88)</f>
        <v>-27163.189362621935</v>
      </c>
      <c r="CJ59">
        <f>PnL(($D$7*(1+CJ$2)),$E59,(RiskSlide!$A$7),($G59+CJ$3),((RiskSlide!$A$10)/260),$C59,$B59,RiskSlide!$H88)</f>
        <v>-27163.189605991047</v>
      </c>
      <c r="CK59">
        <f>PnL(($D$7*(1+CK$2)),$E59,(RiskSlide!$A$7),($G59+CK$3),((RiskSlide!$A$10)/260),$C59,$B59,RiskSlide!$H88)</f>
        <v>-27163.189674446487</v>
      </c>
      <c r="CL59">
        <f>PnL(($D$7*(1+CL$2)),$E59,(RiskSlide!$A$7),($G59+CL$3),((RiskSlide!$A$10)/260),$C59,$B59,RiskSlide!$H88)</f>
        <v>-27163.189694258199</v>
      </c>
      <c r="CM59">
        <f>PnL(($D$7*(1+CM$2)),$E59,(RiskSlide!$A$7),($G59+CM$3),((RiskSlide!$A$10)/260),$C59,$B59,RiskSlide!$H88)</f>
        <v>-27163.189694258199</v>
      </c>
    </row>
    <row r="60" spans="1:91" x14ac:dyDescent="0.25">
      <c r="A60" t="s">
        <v>55</v>
      </c>
      <c r="B60">
        <v>24</v>
      </c>
      <c r="C60">
        <v>1</v>
      </c>
      <c r="E60">
        <v>1815</v>
      </c>
      <c r="F60">
        <v>3.5000000000000001E-3</v>
      </c>
      <c r="G60">
        <v>0.12083199999999999</v>
      </c>
      <c r="K60">
        <f>PnL(($D$7*(1+K$2)),$E60,(RiskSlide!$A$7),($G60+K$3),((RiskSlide!$A$10)/260),$C60,$B60,RiskSlide!$H89)</f>
        <v>-1719.9032510847921</v>
      </c>
      <c r="L60">
        <f>PnL(($D$7*(1+L$2)),$E60,(RiskSlide!$A$7),($G60+L$3),((RiskSlide!$A$10)/260),$C60,$B60,RiskSlide!$H89)</f>
        <v>-1719.9389811244619</v>
      </c>
      <c r="M60">
        <f>PnL(($D$7*(1+M$2)),$E60,(RiskSlide!$A$7),($G60+M$3),((RiskSlide!$A$10)/260),$C60,$B60,RiskSlide!$H89)</f>
        <v>-1719.9389995651868</v>
      </c>
      <c r="N60">
        <f>PnL(($D$7*(1+N$2)),$E60,(RiskSlide!$A$7),($G60+N$3),((RiskSlide!$A$10)/260),$C60,$B60,RiskSlide!$H89)</f>
        <v>-1719.9389995652339</v>
      </c>
      <c r="O60">
        <f>PnL(($D$7*(1+O$2)),$E60,(RiskSlide!$A$7),($G60+O$3),((RiskSlide!$A$10)/260),$C60,$B60,RiskSlide!$H89)</f>
        <v>-1719.938999565238</v>
      </c>
      <c r="P60">
        <f>PnL(($D$7*(1+P$2)),$E60,(RiskSlide!$A$7),($G60+P$3),((RiskSlide!$A$10)/260),$C60,$B60,RiskSlide!$H89)</f>
        <v>-1719.9389995652382</v>
      </c>
      <c r="Q60">
        <f>PnL(($D$7*(1+Q$2)),$E60,(RiskSlide!$A$7),($G60+Q$3),((RiskSlide!$A$10)/260),$C60,$B60,RiskSlide!$H89)</f>
        <v>-1719.9389995652382</v>
      </c>
      <c r="R60">
        <f>PnL(($D$7*(1+R$2)),$E60,(RiskSlide!$A$7),($G60+R$3),((RiskSlide!$A$10)/260),$C60,$B60,RiskSlide!$H89)</f>
        <v>-1719.9389995652382</v>
      </c>
      <c r="S60">
        <f>PnL(($D$7*(1+S$2)),$E60,(RiskSlide!$A$7),($G60+S$3),((RiskSlide!$A$10)/260),$C60,$B60,RiskSlide!$H89)</f>
        <v>-1719.9389995652382</v>
      </c>
      <c r="T60">
        <f>PnL(($D$7*(1+T$2)),$E60,(RiskSlide!$A$7),($G60+T$3),((RiskSlide!$A$10)/260),$C60,$B60,RiskSlide!$H89)</f>
        <v>-1619.1087444230006</v>
      </c>
      <c r="U60">
        <f>PnL(($D$7*(1+U$2)),$E60,(RiskSlide!$A$7),($G60+U$3),((RiskSlide!$A$10)/260),$C60,$B60,RiskSlide!$H89)</f>
        <v>-1714.0002952006209</v>
      </c>
      <c r="V60">
        <f>PnL(($D$7*(1+V$2)),$E60,(RiskSlide!$A$7),($G60+V$3),((RiskSlide!$A$10)/260),$C60,$B60,RiskSlide!$H89)</f>
        <v>-1719.8750557176365</v>
      </c>
      <c r="W60">
        <f>PnL(($D$7*(1+W$2)),$E60,(RiskSlide!$A$7),($G60+W$3),((RiskSlide!$A$10)/260),$C60,$B60,RiskSlide!$H89)</f>
        <v>-1719.9117949787299</v>
      </c>
      <c r="X60">
        <f>PnL(($D$7*(1+X$2)),$E60,(RiskSlide!$A$7),($G60+X$3),((RiskSlide!$A$10)/260),$C60,$B60,RiskSlide!$H89)</f>
        <v>-1719.9285223871016</v>
      </c>
      <c r="Y60">
        <f>PnL(($D$7*(1+Y$2)),$E60,(RiskSlide!$A$7),($G60+Y$3),((RiskSlide!$A$10)/260),$C60,$B60,RiskSlide!$H89)</f>
        <v>-1719.9354088647235</v>
      </c>
      <c r="Z60">
        <f>PnL(($D$7*(1+Z$2)),$E60,(RiskSlide!$A$7),($G60+Z$3),((RiskSlide!$A$10)/260),$C60,$B60,RiskSlide!$H89)</f>
        <v>-1719.9379272399833</v>
      </c>
      <c r="AA60">
        <f>PnL(($D$7*(1+AA$2)),$E60,(RiskSlide!$A$7),($G60+AA$3),((RiskSlide!$A$10)/260),$C60,$B60,RiskSlide!$H89)</f>
        <v>-1719.9389995652357</v>
      </c>
      <c r="AB60">
        <f>PnL(($D$7*(1+AB$2)),$E60,(RiskSlide!$A$7),($G60+AB$3),((RiskSlide!$A$10)/260),$C60,$B60,RiskSlide!$H89)</f>
        <v>-1719.9389995652382</v>
      </c>
      <c r="AC60">
        <f>PnL(($D$7*(1+AC$2)),$E60,(RiskSlide!$A$7),($G60+AC$3),((RiskSlide!$A$10)/260),$C60,$B60,RiskSlide!$H89)</f>
        <v>2837.7345361694324</v>
      </c>
      <c r="AD60">
        <f>PnL(($D$7*(1+AD$2)),$E60,(RiskSlide!$A$7),($G60+AD$3),((RiskSlide!$A$10)/260),$C60,$B60,RiskSlide!$H89)</f>
        <v>175.3502702079345</v>
      </c>
      <c r="AE60">
        <f>PnL(($D$7*(1+AE$2)),$E60,(RiskSlide!$A$7),($G60+AE$3),((RiskSlide!$A$10)/260),$C60,$B60,RiskSlide!$H89)</f>
        <v>-1158.6108806123946</v>
      </c>
      <c r="AF60">
        <f>PnL(($D$7*(1+AF$2)),$E60,(RiskSlide!$A$7),($G60+AF$3),((RiskSlide!$A$10)/260),$C60,$B60,RiskSlide!$H89)</f>
        <v>-1266.4711013242481</v>
      </c>
      <c r="AG60">
        <f>PnL(($D$7*(1+AG$2)),$E60,(RiskSlide!$A$7),($G60+AG$3),((RiskSlide!$A$10)/260),$C60,$B60,RiskSlide!$H89)</f>
        <v>-1361.0100768750726</v>
      </c>
      <c r="AH60">
        <f>PnL(($D$7*(1+AH$2)),$E60,(RiskSlide!$A$7),($G60+AH$3),((RiskSlide!$A$10)/260),$C60,$B60,RiskSlide!$H89)</f>
        <v>-1442.4732767199259</v>
      </c>
      <c r="AI60">
        <f>PnL(($D$7*(1+AI$2)),$E60,(RiskSlide!$A$7),($G60+AI$3),((RiskSlide!$A$10)/260),$C60,$B60,RiskSlide!$H89)</f>
        <v>-1511.2724335370785</v>
      </c>
      <c r="AJ60">
        <f>PnL(($D$7*(1+AJ$2)),$E60,(RiskSlide!$A$7),($G60+AJ$3),((RiskSlide!$A$10)/260),$C60,$B60,RiskSlide!$H89)</f>
        <v>-1716.8751608083116</v>
      </c>
      <c r="AK60">
        <f>PnL(($D$7*(1+AK$2)),$E60,(RiskSlide!$A$7),($G60+AK$3),((RiskSlide!$A$10)/260),$C60,$B60,RiskSlide!$H89)</f>
        <v>-1719.9389995652382</v>
      </c>
      <c r="AL60">
        <f>PnL(($D$7*(1+AL$2)),$E60,(RiskSlide!$A$7),($G60+AL$3),((RiskSlide!$A$10)/260),$C60,$B60,RiskSlide!$H89)</f>
        <v>4719.4787460707857</v>
      </c>
      <c r="AM60">
        <f>PnL(($D$7*(1+AM$2)),$E60,(RiskSlide!$A$7),($G60+AM$3),((RiskSlide!$A$10)/260),$C60,$B60,RiskSlide!$H89)</f>
        <v>1386.9210309528398</v>
      </c>
      <c r="AN60">
        <f>PnL(($D$7*(1+AN$2)),$E60,(RiskSlide!$A$7),($G60+AN$3),((RiskSlide!$A$10)/260),$C60,$B60,RiskSlide!$H89)</f>
        <v>-550.81481495676599</v>
      </c>
      <c r="AO60">
        <f>PnL(($D$7*(1+AO$2)),$E60,(RiskSlide!$A$7),($G60+AO$3),((RiskSlide!$A$10)/260),$C60,$B60,RiskSlide!$H89)</f>
        <v>-731.77542355343803</v>
      </c>
      <c r="AP60">
        <f>PnL(($D$7*(1+AP$2)),$E60,(RiskSlide!$A$7),($G60+AP$3),((RiskSlide!$A$10)/260),$C60,$B60,RiskSlide!$H89)</f>
        <v>-897.28107608849541</v>
      </c>
      <c r="AQ60">
        <f>PnL(($D$7*(1+AQ$2)),$E60,(RiskSlide!$A$7),($G60+AQ$3),((RiskSlide!$A$10)/260),$C60,$B60,RiskSlide!$H89)</f>
        <v>-1046.9141207378073</v>
      </c>
      <c r="AR60">
        <f>PnL(($D$7*(1+AR$2)),$E60,(RiskSlide!$A$7),($G60+AR$3),((RiskSlide!$A$10)/260),$C60,$B60,RiskSlide!$H89)</f>
        <v>-1180.3663110028481</v>
      </c>
      <c r="AS60">
        <f>PnL(($D$7*(1+AS$2)),$E60,(RiskSlide!$A$7),($G60+AS$3),((RiskSlide!$A$10)/260),$C60,$B60,RiskSlide!$H89)</f>
        <v>-1697.2442048921341</v>
      </c>
      <c r="AT60">
        <f>PnL(($D$7*(1+AT$2)),$E60,(RiskSlide!$A$7),($G60+AT$3),((RiskSlide!$A$10)/260),$C60,$B60,RiskSlide!$H89)</f>
        <v>-1719.9389995652382</v>
      </c>
      <c r="AU60">
        <f>PnL(($D$7*(1+AU$2)),$E60,(RiskSlide!$A$7),($G60+AU$3),((RiskSlide!$A$10)/260),$C60,$B60,RiskSlide!$H89)</f>
        <v>7150.4813513989347</v>
      </c>
      <c r="AV60">
        <f>PnL(($D$7*(1+AV$2)),$E60,(RiskSlide!$A$7),($G60+AV$3),((RiskSlide!$A$10)/260),$C60,$B60,RiskSlide!$H89)</f>
        <v>3155.3606385325793</v>
      </c>
      <c r="AW60">
        <f>PnL(($D$7*(1+AW$2)),$E60,(RiskSlide!$A$7),($G60+AW$3),((RiskSlide!$A$10)/260),$C60,$B60,RiskSlide!$H89)</f>
        <v>533.68480714757425</v>
      </c>
      <c r="AX60">
        <f>PnL(($D$7*(1+AX$2)),$E60,(RiskSlide!$A$7),($G60+AX$3),((RiskSlide!$A$10)/260),$C60,$B60,RiskSlide!$H89)</f>
        <v>259.48957418294185</v>
      </c>
      <c r="AY60">
        <f>PnL(($D$7*(1+AY$2)),$E60,(RiskSlide!$A$7),($G60+AY$3),((RiskSlide!$A$10)/260),$C60,$B60,RiskSlide!$H89)</f>
        <v>0</v>
      </c>
      <c r="AZ60">
        <f>PnL(($D$7*(1+AZ$2)),$E60,(RiskSlide!$A$7),($G60+AZ$3),((RiskSlide!$A$10)/260),$C60,$B60,RiskSlide!$H89)</f>
        <v>-243.82722150885456</v>
      </c>
      <c r="BA60">
        <f>PnL(($D$7*(1+BA$2)),$E60,(RiskSlide!$A$7),($G60+BA$3),((RiskSlide!$A$10)/260),$C60,$B60,RiskSlide!$H89)</f>
        <v>-471.01693377522906</v>
      </c>
      <c r="BB60">
        <f>PnL(($D$7*(1+BB$2)),$E60,(RiskSlide!$A$7),($G60+BB$3),((RiskSlide!$A$10)/260),$C60,$B60,RiskSlide!$H89)</f>
        <v>-1594.3469455058475</v>
      </c>
      <c r="BC60">
        <f>PnL(($D$7*(1+BC$2)),$E60,(RiskSlide!$A$7),($G60+BC$3),((RiskSlide!$A$10)/260),$C60,$B60,RiskSlide!$H89)</f>
        <v>-1719.9389995648025</v>
      </c>
      <c r="BD60">
        <f>PnL(($D$7*(1+BD$2)),$E60,(RiskSlide!$A$7),($G60+BD$3),((RiskSlide!$A$10)/260),$C60,$B60,RiskSlide!$H89)</f>
        <v>10207.794417238119</v>
      </c>
      <c r="BE60">
        <f>PnL(($D$7*(1+BE$2)),$E60,(RiskSlide!$A$7),($G60+BE$3),((RiskSlide!$A$10)/260),$C60,$B60,RiskSlide!$H89)</f>
        <v>5620.1575699614523</v>
      </c>
      <c r="BF60">
        <f>PnL(($D$7*(1+BF$2)),$E60,(RiskSlide!$A$7),($G60+BF$3),((RiskSlide!$A$10)/260),$C60,$B60,RiskSlide!$H89)</f>
        <v>2317.9170497494169</v>
      </c>
      <c r="BG60">
        <f>PnL(($D$7*(1+BG$2)),$E60,(RiskSlide!$A$7),($G60+BG$3),((RiskSlide!$A$10)/260),$C60,$B60,RiskSlide!$H89)</f>
        <v>1942.150635710027</v>
      </c>
      <c r="BH60">
        <f>PnL(($D$7*(1+BH$2)),$E60,(RiskSlide!$A$7),($G60+BH$3),((RiskSlide!$A$10)/260),$C60,$B60,RiskSlide!$H89)</f>
        <v>1577.2218593776643</v>
      </c>
      <c r="BI60">
        <f>PnL(($D$7*(1+BI$2)),$E60,(RiskSlide!$A$7),($G60+BI$3),((RiskSlide!$A$10)/260),$C60,$B60,RiskSlide!$H89)</f>
        <v>1224.158277411243</v>
      </c>
      <c r="BJ60">
        <f>PnL(($D$7*(1+BJ$2)),$E60,(RiskSlide!$A$7),($G60+BJ$3),((RiskSlide!$A$10)/260),$C60,$B60,RiskSlide!$H89)</f>
        <v>884.09811543374417</v>
      </c>
      <c r="BK60">
        <f>PnL(($D$7*(1+BK$2)),$E60,(RiskSlide!$A$7),($G60+BK$3),((RiskSlide!$A$10)/260),$C60,$B60,RiskSlide!$H89)</f>
        <v>-1192.2879600460874</v>
      </c>
      <c r="BL60">
        <f>PnL(($D$7*(1+BL$2)),$E60,(RiskSlide!$A$7),($G60+BL$3),((RiskSlide!$A$10)/260),$C60,$B60,RiskSlide!$H89)</f>
        <v>-1719.9388878690679</v>
      </c>
      <c r="BM60">
        <f>PnL(($D$7*(1+BM$2)),$E60,(RiskSlide!$A$7),($G60+BM$3),((RiskSlide!$A$10)/260),$C60,$B60,RiskSlide!$H89)</f>
        <v>13955.614027601359</v>
      </c>
      <c r="BN60">
        <f>PnL(($D$7*(1+BN$2)),$E60,(RiskSlide!$A$7),($G60+BN$3),((RiskSlide!$A$10)/260),$C60,$B60,RiskSlide!$H89)</f>
        <v>8908.2242279748698</v>
      </c>
      <c r="BO60">
        <f>PnL(($D$7*(1+BO$2)),$E60,(RiskSlide!$A$7),($G60+BO$3),((RiskSlide!$A$10)/260),$C60,$B60,RiskSlide!$H89)</f>
        <v>5036.139120618418</v>
      </c>
      <c r="BP60">
        <f>PnL(($D$7*(1+BP$2)),$E60,(RiskSlide!$A$7),($G60+BP$3),((RiskSlide!$A$10)/260),$C60,$B60,RiskSlide!$H89)</f>
        <v>4569.7133523298817</v>
      </c>
      <c r="BQ60">
        <f>PnL(($D$7*(1+BQ$2)),$E60,(RiskSlide!$A$7),($G60+BQ$3),((RiskSlide!$A$10)/260),$C60,$B60,RiskSlide!$H89)</f>
        <v>4108.6617621605455</v>
      </c>
      <c r="BR60">
        <f>PnL(($D$7*(1+BR$2)),$E60,(RiskSlide!$A$7),($G60+BR$3),((RiskSlide!$A$10)/260),$C60,$B60,RiskSlide!$H89)</f>
        <v>3653.6059282574342</v>
      </c>
      <c r="BS60">
        <f>PnL(($D$7*(1+BS$2)),$E60,(RiskSlide!$A$7),($G60+BS$3),((RiskSlide!$A$10)/260),$C60,$B60,RiskSlide!$H89)</f>
        <v>3205.2628736963925</v>
      </c>
      <c r="BT60">
        <f>PnL(($D$7*(1+BT$2)),$E60,(RiskSlide!$A$7),($G60+BT$3),((RiskSlide!$A$10)/260),$C60,$B60,RiskSlide!$H89)</f>
        <v>-3.9244556070343606</v>
      </c>
      <c r="BU60">
        <f>PnL(($D$7*(1+BU$2)),$E60,(RiskSlide!$A$7),($G60+BU$3),((RiskSlide!$A$10)/260),$C60,$B60,RiskSlide!$H89)</f>
        <v>-1719.1094315682083</v>
      </c>
      <c r="BV60">
        <f>PnL(($D$7*(1+BV$2)),$E60,(RiskSlide!$A$7),($G60+BV$3),((RiskSlide!$A$10)/260),$C60,$B60,RiskSlide!$H89)</f>
        <v>69611.649577013945</v>
      </c>
      <c r="BW60">
        <f>PnL(($D$7*(1+BW$2)),$E60,(RiskSlide!$A$7),($G60+BW$3),((RiskSlide!$A$10)/260),$C60,$B60,RiskSlide!$H89)</f>
        <v>67129.071816253592</v>
      </c>
      <c r="BX60">
        <f>PnL(($D$7*(1+BX$2)),$E60,(RiskSlide!$A$7),($G60+BX$3),((RiskSlide!$A$10)/260),$C60,$B60,RiskSlide!$H89)</f>
        <v>65964.820109613996</v>
      </c>
      <c r="BY60">
        <f>PnL(($D$7*(1+BY$2)),$E60,(RiskSlide!$A$7),($G60+BY$3),((RiskSlide!$A$10)/260),$C60,$B60,RiskSlide!$H89)</f>
        <v>65876.668862028047</v>
      </c>
      <c r="BZ60">
        <f>PnL(($D$7*(1+BZ$2)),$E60,(RiskSlide!$A$7),($G60+BZ$3),((RiskSlide!$A$10)/260),$C60,$B60,RiskSlide!$H89)</f>
        <v>65800.86621444553</v>
      </c>
      <c r="CA60">
        <f>PnL(($D$7*(1+CA$2)),$E60,(RiskSlide!$A$7),($G60+CA$3),((RiskSlide!$A$10)/260),$C60,$B60,RiskSlide!$H89)</f>
        <v>65736.941042132268</v>
      </c>
      <c r="CB60">
        <f>PnL(($D$7*(1+CB$2)),$E60,(RiskSlide!$A$7),($G60+CB$3),((RiskSlide!$A$10)/260),$C60,$B60,RiskSlide!$H89)</f>
        <v>65684.258125226828</v>
      </c>
      <c r="CC60">
        <f>PnL(($D$7*(1+CC$2)),$E60,(RiskSlide!$A$7),($G60+CC$3),((RiskSlide!$A$10)/260),$C60,$B60,RiskSlide!$H89)</f>
        <v>65542.255143353032</v>
      </c>
      <c r="CD60">
        <f>PnL(($D$7*(1+CD$2)),$E60,(RiskSlide!$A$7),($G60+CD$3),((RiskSlide!$A$10)/260),$C60,$B60,RiskSlide!$H89)</f>
        <v>65540.934766112608</v>
      </c>
      <c r="CE60">
        <f>PnL(($D$7*(1+CE$2)),$E60,(RiskSlide!$A$7),($G60+CE$3),((RiskSlide!$A$10)/260),$C60,$B60,RiskSlide!$H89)</f>
        <v>172498.33320056697</v>
      </c>
      <c r="CF60">
        <f>PnL(($D$7*(1+CF$2)),$E60,(RiskSlide!$A$7),($G60+CF$3),((RiskSlide!$A$10)/260),$C60,$B60,RiskSlide!$H89)</f>
        <v>172454.18780067874</v>
      </c>
      <c r="CG60">
        <f>PnL(($D$7*(1+CG$2)),$E60,(RiskSlide!$A$7),($G60+CG$3),((RiskSlide!$A$10)/260),$C60,$B60,RiskSlide!$H89)</f>
        <v>172452.54239334827</v>
      </c>
      <c r="CH60">
        <f>PnL(($D$7*(1+CH$2)),$E60,(RiskSlide!$A$7),($G60+CH$3),((RiskSlide!$A$10)/260),$C60,$B60,RiskSlide!$H89)</f>
        <v>172452.53751661294</v>
      </c>
      <c r="CI60">
        <f>PnL(($D$7*(1+CI$2)),$E60,(RiskSlide!$A$7),($G60+CI$3),((RiskSlide!$A$10)/260),$C60,$B60,RiskSlide!$H89)</f>
        <v>172452.53564553341</v>
      </c>
      <c r="CJ60">
        <f>PnL(($D$7*(1+CJ$2)),$E60,(RiskSlide!$A$7),($G60+CJ$3),((RiskSlide!$A$10)/260),$C60,$B60,RiskSlide!$H89)</f>
        <v>172452.53501029074</v>
      </c>
      <c r="CK60">
        <f>PnL(($D$7*(1+CK$2)),$E60,(RiskSlide!$A$7),($G60+CK$3),((RiskSlide!$A$10)/260),$C60,$B60,RiskSlide!$H89)</f>
        <v>172452.53482350608</v>
      </c>
      <c r="CL60">
        <f>PnL(($D$7*(1+CL$2)),$E60,(RiskSlide!$A$7),($G60+CL$3),((RiskSlide!$A$10)/260),$C60,$B60,RiskSlide!$H89)</f>
        <v>172452.53476611269</v>
      </c>
      <c r="CM60">
        <f>PnL(($D$7*(1+CM$2)),$E60,(RiskSlide!$A$7),($G60+CM$3),((RiskSlide!$A$10)/260),$C60,$B60,RiskSlide!$H89)</f>
        <v>172452.53476611269</v>
      </c>
    </row>
    <row r="61" spans="1:91" x14ac:dyDescent="0.25">
      <c r="A61" t="s">
        <v>56</v>
      </c>
      <c r="B61">
        <v>4</v>
      </c>
      <c r="C61">
        <v>0</v>
      </c>
      <c r="E61">
        <v>1815</v>
      </c>
      <c r="F61">
        <v>3.5000000000000001E-3</v>
      </c>
      <c r="G61">
        <v>0.12083199999999999</v>
      </c>
      <c r="K61">
        <f>PnL(($D$7*(1+K$2)),$E61,(RiskSlide!$A$7),($G61+K$3),((RiskSlide!$A$10)/260),$C61,$B61,RiskSlide!$H90)</f>
        <v>35350.549458152542</v>
      </c>
      <c r="L61">
        <f>PnL(($D$7*(1+L$2)),$E61,(RiskSlide!$A$7),($G61+L$3),((RiskSlide!$A$10)/260),$C61,$B61,RiskSlide!$H90)</f>
        <v>35350.543503145949</v>
      </c>
      <c r="M61">
        <f>PnL(($D$7*(1+M$2)),$E61,(RiskSlide!$A$7),($G61+M$3),((RiskSlide!$A$10)/260),$C61,$B61,RiskSlide!$H90)</f>
        <v>35350.54350007249</v>
      </c>
      <c r="N61">
        <f>PnL(($D$7*(1+N$2)),$E61,(RiskSlide!$A$7),($G61+N$3),((RiskSlide!$A$10)/260),$C61,$B61,RiskSlide!$H90)</f>
        <v>35350.543500072534</v>
      </c>
      <c r="O61">
        <f>PnL(($D$7*(1+O$2)),$E61,(RiskSlide!$A$7),($G61+O$3),((RiskSlide!$A$10)/260),$C61,$B61,RiskSlide!$H90)</f>
        <v>35350.54350007249</v>
      </c>
      <c r="P61">
        <f>PnL(($D$7*(1+P$2)),$E61,(RiskSlide!$A$7),($G61+P$3),((RiskSlide!$A$10)/260),$C61,$B61,RiskSlide!$H90)</f>
        <v>35350.54350007249</v>
      </c>
      <c r="Q61">
        <f>PnL(($D$7*(1+Q$2)),$E61,(RiskSlide!$A$7),($G61+Q$3),((RiskSlide!$A$10)/260),$C61,$B61,RiskSlide!$H90)</f>
        <v>35350.54350007249</v>
      </c>
      <c r="R61">
        <f>PnL(($D$7*(1+R$2)),$E61,(RiskSlide!$A$7),($G61+R$3),((RiskSlide!$A$10)/260),$C61,$B61,RiskSlide!$H90)</f>
        <v>35350.54350007249</v>
      </c>
      <c r="S61">
        <f>PnL(($D$7*(1+S$2)),$E61,(RiskSlide!$A$7),($G61+S$3),((RiskSlide!$A$10)/260),$C61,$B61,RiskSlide!$H90)</f>
        <v>35350.54350007249</v>
      </c>
      <c r="T61">
        <f>PnL(($D$7*(1+T$2)),$E61,(RiskSlide!$A$7),($G61+T$3),((RiskSlide!$A$10)/260),$C61,$B61,RiskSlide!$H90)</f>
        <v>17548.748542596149</v>
      </c>
      <c r="U61">
        <f>PnL(($D$7*(1+U$2)),$E61,(RiskSlide!$A$7),($G61+U$3),((RiskSlide!$A$10)/260),$C61,$B61,RiskSlide!$H90)</f>
        <v>17532.933284133287</v>
      </c>
      <c r="V61">
        <f>PnL(($D$7*(1+V$2)),$E61,(RiskSlide!$A$7),($G61+V$3),((RiskSlide!$A$10)/260),$C61,$B61,RiskSlide!$H90)</f>
        <v>17531.95415738046</v>
      </c>
      <c r="W61">
        <f>PnL(($D$7*(1+W$2)),$E61,(RiskSlide!$A$7),($G61+W$3),((RiskSlide!$A$10)/260),$C61,$B61,RiskSlide!$H90)</f>
        <v>17531.948034170273</v>
      </c>
      <c r="X61">
        <f>PnL(($D$7*(1+X$2)),$E61,(RiskSlide!$A$7),($G61+X$3),((RiskSlide!$A$10)/260),$C61,$B61,RiskSlide!$H90)</f>
        <v>17531.945246268879</v>
      </c>
      <c r="Y61">
        <f>PnL(($D$7*(1+Y$2)),$E61,(RiskSlide!$A$7),($G61+Y$3),((RiskSlide!$A$10)/260),$C61,$B61,RiskSlide!$H90)</f>
        <v>17531.944098522581</v>
      </c>
      <c r="Z61">
        <f>PnL(($D$7*(1+Z$2)),$E61,(RiskSlide!$A$7),($G61+Z$3),((RiskSlide!$A$10)/260),$C61,$B61,RiskSlide!$H90)</f>
        <v>17531.943678793366</v>
      </c>
      <c r="AA61">
        <f>PnL(($D$7*(1+AA$2)),$E61,(RiskSlide!$A$7),($G61+AA$3),((RiskSlide!$A$10)/260),$C61,$B61,RiskSlide!$H90)</f>
        <v>17531.943500072477</v>
      </c>
      <c r="AB61">
        <f>PnL(($D$7*(1+AB$2)),$E61,(RiskSlide!$A$7),($G61+AB$3),((RiskSlide!$A$10)/260),$C61,$B61,RiskSlide!$H90)</f>
        <v>17531.943500072521</v>
      </c>
      <c r="AC61">
        <f>PnL(($D$7*(1+AC$2)),$E61,(RiskSlide!$A$7),($G61+AC$3),((RiskSlide!$A$10)/260),$C61,$B61,RiskSlide!$H90)</f>
        <v>4036.6757560282167</v>
      </c>
      <c r="AD61">
        <f>PnL(($D$7*(1+AD$2)),$E61,(RiskSlide!$A$7),($G61+AD$3),((RiskSlide!$A$10)/260),$C61,$B61,RiskSlide!$H90)</f>
        <v>3592.9450450346849</v>
      </c>
      <c r="AE61">
        <f>PnL(($D$7*(1+AE$2)),$E61,(RiskSlide!$A$7),($G61+AE$3),((RiskSlide!$A$10)/260),$C61,$B61,RiskSlide!$H90)</f>
        <v>3370.6181865646613</v>
      </c>
      <c r="AF61">
        <f>PnL(($D$7*(1+AF$2)),$E61,(RiskSlide!$A$7),($G61+AF$3),((RiskSlide!$A$10)/260),$C61,$B61,RiskSlide!$H90)</f>
        <v>3352.6414831127113</v>
      </c>
      <c r="AG61">
        <f>PnL(($D$7*(1+AG$2)),$E61,(RiskSlide!$A$7),($G61+AG$3),((RiskSlide!$A$10)/260),$C61,$B61,RiskSlide!$H90)</f>
        <v>3336.8849871875227</v>
      </c>
      <c r="AH61">
        <f>PnL(($D$7*(1+AH$2)),$E61,(RiskSlide!$A$7),($G61+AH$3),((RiskSlide!$A$10)/260),$C61,$B61,RiskSlide!$H90)</f>
        <v>3323.3077872133435</v>
      </c>
      <c r="AI61">
        <f>PnL(($D$7*(1+AI$2)),$E61,(RiskSlide!$A$7),($G61+AI$3),((RiskSlide!$A$10)/260),$C61,$B61,RiskSlide!$H90)</f>
        <v>3311.8412610771884</v>
      </c>
      <c r="AJ61">
        <f>PnL(($D$7*(1+AJ$2)),$E61,(RiskSlide!$A$7),($G61+AJ$3),((RiskSlide!$A$10)/260),$C61,$B61,RiskSlide!$H90)</f>
        <v>3277.5741398652826</v>
      </c>
      <c r="AK61">
        <f>PnL(($D$7*(1+AK$2)),$E61,(RiskSlide!$A$7),($G61+AK$3),((RiskSlide!$A$10)/260),$C61,$B61,RiskSlide!$H90)</f>
        <v>3277.0635000725179</v>
      </c>
      <c r="AL61">
        <f>PnL(($D$7*(1+AL$2)),$E61,(RiskSlide!$A$7),($G61+AL$3),((RiskSlide!$A$10)/260),$C61,$B61,RiskSlide!$H90)</f>
        <v>2568.439791011815</v>
      </c>
      <c r="AM61">
        <f>PnL(($D$7*(1+AM$2)),$E61,(RiskSlide!$A$7),($G61+AM$3),((RiskSlide!$A$10)/260),$C61,$B61,RiskSlide!$H90)</f>
        <v>2013.013505158824</v>
      </c>
      <c r="AN61">
        <f>PnL(($D$7*(1+AN$2)),$E61,(RiskSlide!$A$7),($G61+AN$3),((RiskSlide!$A$10)/260),$C61,$B61,RiskSlide!$H90)</f>
        <v>1690.0575308405678</v>
      </c>
      <c r="AO61">
        <f>PnL(($D$7*(1+AO$2)),$E61,(RiskSlide!$A$7),($G61+AO$3),((RiskSlide!$A$10)/260),$C61,$B61,RiskSlide!$H90)</f>
        <v>1659.8974294078289</v>
      </c>
      <c r="AP61">
        <f>PnL(($D$7*(1+AP$2)),$E61,(RiskSlide!$A$7),($G61+AP$3),((RiskSlide!$A$10)/260),$C61,$B61,RiskSlide!$H90)</f>
        <v>1632.3131539852966</v>
      </c>
      <c r="AQ61">
        <f>PnL(($D$7*(1+AQ$2)),$E61,(RiskSlide!$A$7),($G61+AQ$3),((RiskSlide!$A$10)/260),$C61,$B61,RiskSlide!$H90)</f>
        <v>1607.3743132104028</v>
      </c>
      <c r="AR61">
        <f>PnL(($D$7*(1+AR$2)),$E61,(RiskSlide!$A$7),($G61+AR$3),((RiskSlide!$A$10)/260),$C61,$B61,RiskSlide!$H90)</f>
        <v>1585.132281499591</v>
      </c>
      <c r="AS61">
        <f>PnL(($D$7*(1+AS$2)),$E61,(RiskSlide!$A$7),($G61+AS$3),((RiskSlide!$A$10)/260),$C61,$B61,RiskSlide!$H90)</f>
        <v>1498.9859658512614</v>
      </c>
      <c r="AT61">
        <f>PnL(($D$7*(1+AT$2)),$E61,(RiskSlide!$A$7),($G61+AT$3),((RiskSlide!$A$10)/260),$C61,$B61,RiskSlide!$H90)</f>
        <v>1495.2035000725118</v>
      </c>
      <c r="AU61">
        <f>PnL(($D$7*(1+AU$2)),$E61,(RiskSlide!$A$7),($G61+AU$3),((RiskSlide!$A$10)/260),$C61,$B61,RiskSlide!$H90)</f>
        <v>1191.7468918998111</v>
      </c>
      <c r="AV61">
        <f>PnL(($D$7*(1+AV$2)),$E61,(RiskSlide!$A$7),($G61+AV$3),((RiskSlide!$A$10)/260),$C61,$B61,RiskSlide!$H90)</f>
        <v>525.89343975541851</v>
      </c>
      <c r="AW61">
        <f>PnL(($D$7*(1+AW$2)),$E61,(RiskSlide!$A$7),($G61+AW$3),((RiskSlide!$A$10)/260),$C61,$B61,RiskSlide!$H90)</f>
        <v>88.947467857997253</v>
      </c>
      <c r="AX61">
        <f>PnL(($D$7*(1+AX$2)),$E61,(RiskSlide!$A$7),($G61+AX$3),((RiskSlide!$A$10)/260),$C61,$B61,RiskSlide!$H90)</f>
        <v>43.24826236388617</v>
      </c>
      <c r="AY61">
        <f>PnL(($D$7*(1+AY$2)),$E61,(RiskSlide!$A$7),($G61+AY$3),((RiskSlide!$A$10)/260),$C61,$B61,RiskSlide!$H90)</f>
        <v>0</v>
      </c>
      <c r="AZ61">
        <f>PnL(($D$7*(1+AZ$2)),$E61,(RiskSlide!$A$7),($G61+AZ$3),((RiskSlide!$A$10)/260),$C61,$B61,RiskSlide!$H90)</f>
        <v>-40.637870251430286</v>
      </c>
      <c r="BA61">
        <f>PnL(($D$7*(1+BA$2)),$E61,(RiskSlide!$A$7),($G61+BA$3),((RiskSlide!$A$10)/260),$C61,$B61,RiskSlide!$H90)</f>
        <v>-78.50282229583172</v>
      </c>
      <c r="BB61">
        <f>PnL(($D$7*(1+BB$2)),$E61,(RiskSlide!$A$7),($G61+BB$3),((RiskSlide!$A$10)/260),$C61,$B61,RiskSlide!$H90)</f>
        <v>-265.72449091763701</v>
      </c>
      <c r="BC61">
        <f>PnL(($D$7*(1+BC$2)),$E61,(RiskSlide!$A$7),($G61+BC$3),((RiskSlide!$A$10)/260),$C61,$B61,RiskSlide!$H90)</f>
        <v>-286.65649992744875</v>
      </c>
      <c r="BD61">
        <f>PnL(($D$7*(1+BD$2)),$E61,(RiskSlide!$A$7),($G61+BD$3),((RiskSlide!$A$10)/260),$C61,$B61,RiskSlide!$H90)</f>
        <v>-80.560930460205782</v>
      </c>
      <c r="BE61">
        <f>PnL(($D$7*(1+BE$2)),$E61,(RiskSlide!$A$7),($G61+BE$3),((RiskSlide!$A$10)/260),$C61,$B61,RiskSlide!$H90)</f>
        <v>-845.16707167299501</v>
      </c>
      <c r="BF61">
        <f>PnL(($D$7*(1+BF$2)),$E61,(RiskSlide!$A$7),($G61+BF$3),((RiskSlide!$A$10)/260),$C61,$B61,RiskSlide!$H90)</f>
        <v>-1395.5404917084252</v>
      </c>
      <c r="BG61">
        <f>PnL(($D$7*(1+BG$2)),$E61,(RiskSlide!$A$7),($G61+BG$3),((RiskSlide!$A$10)/260),$C61,$B61,RiskSlide!$H90)</f>
        <v>-1458.1682273815659</v>
      </c>
      <c r="BH61">
        <f>PnL(($D$7*(1+BH$2)),$E61,(RiskSlide!$A$7),($G61+BH$3),((RiskSlide!$A$10)/260),$C61,$B61,RiskSlide!$H90)</f>
        <v>-1518.9896901036263</v>
      </c>
      <c r="BI61">
        <f>PnL(($D$7*(1+BI$2)),$E61,(RiskSlide!$A$7),($G61+BI$3),((RiskSlide!$A$10)/260),$C61,$B61,RiskSlide!$H90)</f>
        <v>-1577.8336204313746</v>
      </c>
      <c r="BJ61">
        <f>PnL(($D$7*(1+BJ$2)),$E61,(RiskSlide!$A$7),($G61+BJ$3),((RiskSlide!$A$10)/260),$C61,$B61,RiskSlide!$H90)</f>
        <v>-1634.5103140943138</v>
      </c>
      <c r="BK61">
        <f>PnL(($D$7*(1+BK$2)),$E61,(RiskSlide!$A$7),($G61+BK$3),((RiskSlide!$A$10)/260),$C61,$B61,RiskSlide!$H90)</f>
        <v>-1980.5746600075963</v>
      </c>
      <c r="BL61">
        <f>PnL(($D$7*(1+BL$2)),$E61,(RiskSlide!$A$7),($G61+BL$3),((RiskSlide!$A$10)/260),$C61,$B61,RiskSlide!$H90)</f>
        <v>-2068.5164813114625</v>
      </c>
      <c r="BM61">
        <f>PnL(($D$7*(1+BM$2)),$E61,(RiskSlide!$A$7),($G61+BM$3),((RiskSlide!$A$10)/260),$C61,$B61,RiskSlide!$H90)</f>
        <v>-1237.7843287330506</v>
      </c>
      <c r="BN61">
        <f>PnL(($D$7*(1+BN$2)),$E61,(RiskSlide!$A$7),($G61+BN$3),((RiskSlide!$A$10)/260),$C61,$B61,RiskSlide!$H90)</f>
        <v>-2079.0159620041777</v>
      </c>
      <c r="BO61">
        <f>PnL(($D$7*(1+BO$2)),$E61,(RiskSlide!$A$7),($G61+BO$3),((RiskSlide!$A$10)/260),$C61,$B61,RiskSlide!$H90)</f>
        <v>-2724.3634798969197</v>
      </c>
      <c r="BP61">
        <f>PnL(($D$7*(1+BP$2)),$E61,(RiskSlide!$A$7),($G61+BP$3),((RiskSlide!$A$10)/260),$C61,$B61,RiskSlide!$H90)</f>
        <v>-2802.1011079450091</v>
      </c>
      <c r="BQ61">
        <f>PnL(($D$7*(1+BQ$2)),$E61,(RiskSlide!$A$7),($G61+BQ$3),((RiskSlide!$A$10)/260),$C61,$B61,RiskSlide!$H90)</f>
        <v>-2878.9430396398529</v>
      </c>
      <c r="BR61">
        <f>PnL(($D$7*(1+BR$2)),$E61,(RiskSlide!$A$7),($G61+BR$3),((RiskSlide!$A$10)/260),$C61,$B61,RiskSlide!$H90)</f>
        <v>-2954.7856786237389</v>
      </c>
      <c r="BS61">
        <f>PnL(($D$7*(1+BS$2)),$E61,(RiskSlide!$A$7),($G61+BS$3),((RiskSlide!$A$10)/260),$C61,$B61,RiskSlide!$H90)</f>
        <v>-3029.5095210505679</v>
      </c>
      <c r="BT61">
        <f>PnL(($D$7*(1+BT$2)),$E61,(RiskSlide!$A$7),($G61+BT$3),((RiskSlide!$A$10)/260),$C61,$B61,RiskSlide!$H90)</f>
        <v>-3564.3740759344837</v>
      </c>
      <c r="BU61">
        <f>PnL(($D$7*(1+BU$2)),$E61,(RiskSlide!$A$7),($G61+BU$3),((RiskSlide!$A$10)/260),$C61,$B61,RiskSlide!$H90)</f>
        <v>-3850.2382385946476</v>
      </c>
      <c r="BV61">
        <f>PnL(($D$7*(1+BV$2)),$E61,(RiskSlide!$A$7),($G61+BV$3),((RiskSlide!$A$10)/260),$C61,$B61,RiskSlide!$H90)</f>
        <v>-6216.6584038309966</v>
      </c>
      <c r="BW61">
        <f>PnL(($D$7*(1+BW$2)),$E61,(RiskSlide!$A$7),($G61+BW$3),((RiskSlide!$A$10)/260),$C61,$B61,RiskSlide!$H90)</f>
        <v>-6630.4213639577256</v>
      </c>
      <c r="BX61">
        <f>PnL(($D$7*(1+BX$2)),$E61,(RiskSlide!$A$7),($G61+BX$3),((RiskSlide!$A$10)/260),$C61,$B61,RiskSlide!$H90)</f>
        <v>-6824.4633150643649</v>
      </c>
      <c r="BY61">
        <f>PnL(($D$7*(1+BY$2)),$E61,(RiskSlide!$A$7),($G61+BY$3),((RiskSlide!$A$10)/260),$C61,$B61,RiskSlide!$H90)</f>
        <v>-6839.1551896620031</v>
      </c>
      <c r="BZ61">
        <f>PnL(($D$7*(1+BZ$2)),$E61,(RiskSlide!$A$7),($G61+BZ$3),((RiskSlide!$A$10)/260),$C61,$B61,RiskSlide!$H90)</f>
        <v>-6851.7889642590817</v>
      </c>
      <c r="CA61">
        <f>PnL(($D$7*(1+CA$2)),$E61,(RiskSlide!$A$7),($G61+CA$3),((RiskSlide!$A$10)/260),$C61,$B61,RiskSlide!$H90)</f>
        <v>-6862.4431596446439</v>
      </c>
      <c r="CB61">
        <f>PnL(($D$7*(1+CB$2)),$E61,(RiskSlide!$A$7),($G61+CB$3),((RiskSlide!$A$10)/260),$C61,$B61,RiskSlide!$H90)</f>
        <v>-6871.2236457955114</v>
      </c>
      <c r="CC61">
        <f>PnL(($D$7*(1+CC$2)),$E61,(RiskSlide!$A$7),($G61+CC$3),((RiskSlide!$A$10)/260),$C61,$B61,RiskSlide!$H90)</f>
        <v>-6894.8908094411454</v>
      </c>
      <c r="CD61">
        <f>PnL(($D$7*(1+CD$2)),$E61,(RiskSlide!$A$7),($G61+CD$3),((RiskSlide!$A$10)/260),$C61,$B61,RiskSlide!$H90)</f>
        <v>-6895.1108723145353</v>
      </c>
      <c r="CE61">
        <f>PnL(($D$7*(1+CE$2)),$E61,(RiskSlide!$A$7),($G61+CE$3),((RiskSlide!$A$10)/260),$C61,$B61,RiskSlide!$H90)</f>
        <v>-6887.4777999055641</v>
      </c>
      <c r="CF61">
        <f>PnL(($D$7*(1+CF$2)),$E61,(RiskSlide!$A$7),($G61+CF$3),((RiskSlide!$A$10)/260),$C61,$B61,RiskSlide!$H90)</f>
        <v>-6894.8353665534996</v>
      </c>
      <c r="CG61">
        <f>PnL(($D$7*(1+CG$2)),$E61,(RiskSlide!$A$7),($G61+CG$3),((RiskSlide!$A$10)/260),$C61,$B61,RiskSlide!$H90)</f>
        <v>-6895.1096011085838</v>
      </c>
      <c r="CH61">
        <f>PnL(($D$7*(1+CH$2)),$E61,(RiskSlide!$A$7),($G61+CH$3),((RiskSlide!$A$10)/260),$C61,$B61,RiskSlide!$H90)</f>
        <v>-6895.1104138978453</v>
      </c>
      <c r="CI61">
        <f>PnL(($D$7*(1+CI$2)),$E61,(RiskSlide!$A$7),($G61+CI$3),((RiskSlide!$A$10)/260),$C61,$B61,RiskSlide!$H90)</f>
        <v>-6895.1107257443909</v>
      </c>
      <c r="CJ61">
        <f>PnL(($D$7*(1+CJ$2)),$E61,(RiskSlide!$A$7),($G61+CJ$3),((RiskSlide!$A$10)/260),$C61,$B61,RiskSlide!$H90)</f>
        <v>-6895.1108316182354</v>
      </c>
      <c r="CK61">
        <f>PnL(($D$7*(1+CK$2)),$E61,(RiskSlide!$A$7),($G61+CK$3),((RiskSlide!$A$10)/260),$C61,$B61,RiskSlide!$H90)</f>
        <v>-6895.1108627489493</v>
      </c>
      <c r="CL61">
        <f>PnL(($D$7*(1+CL$2)),$E61,(RiskSlide!$A$7),($G61+CL$3),((RiskSlide!$A$10)/260),$C61,$B61,RiskSlide!$H90)</f>
        <v>-6895.1108723145353</v>
      </c>
      <c r="CM61">
        <f>PnL(($D$7*(1+CM$2)),$E61,(RiskSlide!$A$7),($G61+CM$3),((RiskSlide!$A$10)/260),$C61,$B61,RiskSlide!$H90)</f>
        <v>-6895.1108723145353</v>
      </c>
    </row>
    <row r="62" spans="1:91" x14ac:dyDescent="0.25">
      <c r="A62" t="s">
        <v>57</v>
      </c>
      <c r="B62">
        <v>23</v>
      </c>
      <c r="C62">
        <v>1</v>
      </c>
      <c r="E62">
        <v>1820</v>
      </c>
      <c r="F62">
        <v>3.5000000000000001E-3</v>
      </c>
      <c r="G62">
        <v>0.120145</v>
      </c>
      <c r="K62">
        <f>PnL(($D$7*(1+K$2)),$E62,(RiskSlide!$A$7),($G62+K$3),((RiskSlide!$A$10)/260),$C62,$B62,RiskSlide!$H91)</f>
        <v>-1088.4801452102954</v>
      </c>
      <c r="L62">
        <f>PnL(($D$7*(1+L$2)),$E62,(RiskSlide!$A$7),($G62+L$3),((RiskSlide!$A$10)/260),$C62,$B62,RiskSlide!$H91)</f>
        <v>-1088.4994773841438</v>
      </c>
      <c r="M62">
        <f>PnL(($D$7*(1+M$2)),$E62,(RiskSlide!$A$7),($G62+M$3),((RiskSlide!$A$10)/260),$C62,$B62,RiskSlide!$H91)</f>
        <v>-1088.4994841393329</v>
      </c>
      <c r="N62">
        <f>PnL(($D$7*(1+N$2)),$E62,(RiskSlide!$A$7),($G62+N$3),((RiskSlide!$A$10)/260),$C62,$B62,RiskSlide!$H91)</f>
        <v>-1088.4994841393416</v>
      </c>
      <c r="O62">
        <f>PnL(($D$7*(1+O$2)),$E62,(RiskSlide!$A$7),($G62+O$3),((RiskSlide!$A$10)/260),$C62,$B62,RiskSlide!$H91)</f>
        <v>-1088.4994841393423</v>
      </c>
      <c r="P62">
        <f>PnL(($D$7*(1+P$2)),$E62,(RiskSlide!$A$7),($G62+P$3),((RiskSlide!$A$10)/260),$C62,$B62,RiskSlide!$H91)</f>
        <v>-1088.4994841393423</v>
      </c>
      <c r="Q62">
        <f>PnL(($D$7*(1+Q$2)),$E62,(RiskSlide!$A$7),($G62+Q$3),((RiskSlide!$A$10)/260),$C62,$B62,RiskSlide!$H91)</f>
        <v>-1088.4994841393423</v>
      </c>
      <c r="R62">
        <f>PnL(($D$7*(1+R$2)),$E62,(RiskSlide!$A$7),($G62+R$3),((RiskSlide!$A$10)/260),$C62,$B62,RiskSlide!$H91)</f>
        <v>-1088.4994841393423</v>
      </c>
      <c r="S62">
        <f>PnL(($D$7*(1+S$2)),$E62,(RiskSlide!$A$7),($G62+S$3),((RiskSlide!$A$10)/260),$C62,$B62,RiskSlide!$H91)</f>
        <v>-1088.4994841393423</v>
      </c>
      <c r="T62">
        <f>PnL(($D$7*(1+T$2)),$E62,(RiskSlide!$A$7),($G62+T$3),((RiskSlide!$A$10)/260),$C62,$B62,RiskSlide!$H91)</f>
        <v>-1020.2432904842964</v>
      </c>
      <c r="U62">
        <f>PnL(($D$7*(1+U$2)),$E62,(RiskSlide!$A$7),($G62+U$3),((RiskSlide!$A$10)/260),$C62,$B62,RiskSlide!$H91)</f>
        <v>-1085.2352481961689</v>
      </c>
      <c r="V62">
        <f>PnL(($D$7*(1+V$2)),$E62,(RiskSlide!$A$7),($G62+V$3),((RiskSlide!$A$10)/260),$C62,$B62,RiskSlide!$H91)</f>
        <v>-1088.4752847779646</v>
      </c>
      <c r="W62">
        <f>PnL(($D$7*(1+W$2)),$E62,(RiskSlide!$A$7),($G62+W$3),((RiskSlide!$A$10)/260),$C62,$B62,RiskSlide!$H91)</f>
        <v>-1088.4899273257431</v>
      </c>
      <c r="X62">
        <f>PnL(($D$7*(1+X$2)),$E62,(RiskSlide!$A$7),($G62+X$3),((RiskSlide!$A$10)/260),$C62,$B62,RiskSlide!$H91)</f>
        <v>-1088.4961014236042</v>
      </c>
      <c r="Y62">
        <f>PnL(($D$7*(1+Y$2)),$E62,(RiskSlide!$A$7),($G62+Y$3),((RiskSlide!$A$10)/260),$C62,$B62,RiskSlide!$H91)</f>
        <v>-1088.4984311441324</v>
      </c>
      <c r="Z62">
        <f>PnL(($D$7*(1+Z$2)),$E62,(RiskSlide!$A$7),($G62+Z$3),((RiskSlide!$A$10)/260),$C62,$B62,RiskSlide!$H91)</f>
        <v>-1088.4992025157831</v>
      </c>
      <c r="AA62">
        <f>PnL(($D$7*(1+AA$2)),$E62,(RiskSlide!$A$7),($G62+AA$3),((RiskSlide!$A$10)/260),$C62,$B62,RiskSlide!$H91)</f>
        <v>-1088.499484139342</v>
      </c>
      <c r="AB62">
        <f>PnL(($D$7*(1+AB$2)),$E62,(RiskSlide!$A$7),($G62+AB$3),((RiskSlide!$A$10)/260),$C62,$B62,RiskSlide!$H91)</f>
        <v>-1088.4994841393423</v>
      </c>
      <c r="AC62">
        <f>PnL(($D$7*(1+AC$2)),$E62,(RiskSlide!$A$7),($G62+AC$3),((RiskSlide!$A$10)/260),$C62,$B62,RiskSlide!$H91)</f>
        <v>2464.1613670882334</v>
      </c>
      <c r="AD62">
        <f>PnL(($D$7*(1+AD$2)),$E62,(RiskSlide!$A$7),($G62+AD$3),((RiskSlide!$A$10)/260),$C62,$B62,RiskSlide!$H91)</f>
        <v>253.48674760404606</v>
      </c>
      <c r="AE62">
        <f>PnL(($D$7*(1+AE$2)),$E62,(RiskSlide!$A$7),($G62+AE$3),((RiskSlide!$A$10)/260),$C62,$B62,RiskSlide!$H91)</f>
        <v>-749.62486529676653</v>
      </c>
      <c r="AF62">
        <f>PnL(($D$7*(1+AF$2)),$E62,(RiskSlide!$A$7),($G62+AF$3),((RiskSlide!$A$10)/260),$C62,$B62,RiskSlide!$H91)</f>
        <v>-822.99916353499009</v>
      </c>
      <c r="AG62">
        <f>PnL(($D$7*(1+AG$2)),$E62,(RiskSlide!$A$7),($G62+AG$3),((RiskSlide!$A$10)/260),$C62,$B62,RiskSlide!$H91)</f>
        <v>-885.45233725757271</v>
      </c>
      <c r="AH62">
        <f>PnL(($D$7*(1+AH$2)),$E62,(RiskSlide!$A$7),($G62+AH$3),((RiskSlide!$A$10)/260),$C62,$B62,RiskSlide!$H91)</f>
        <v>-937.50823867517875</v>
      </c>
      <c r="AI62">
        <f>PnL(($D$7*(1+AI$2)),$E62,(RiskSlide!$A$7),($G62+AI$3),((RiskSlide!$A$10)/260),$C62,$B62,RiskSlide!$H91)</f>
        <v>-979.83810254901562</v>
      </c>
      <c r="AJ62">
        <f>PnL(($D$7*(1+AJ$2)),$E62,(RiskSlide!$A$7),($G62+AJ$3),((RiskSlide!$A$10)/260),$C62,$B62,RiskSlide!$H91)</f>
        <v>-1087.7487971904</v>
      </c>
      <c r="AK62">
        <f>PnL(($D$7*(1+AK$2)),$E62,(RiskSlide!$A$7),($G62+AK$3),((RiskSlide!$A$10)/260),$C62,$B62,RiskSlide!$H91)</f>
        <v>-1088.4994841393423</v>
      </c>
      <c r="AL62">
        <f>PnL(($D$7*(1+AL$2)),$E62,(RiskSlide!$A$7),($G62+AL$3),((RiskSlide!$A$10)/260),$C62,$B62,RiskSlide!$H91)</f>
        <v>4006.1912874023847</v>
      </c>
      <c r="AM62">
        <f>PnL(($D$7*(1+AM$2)),$E62,(RiskSlide!$A$7),($G62+AM$3),((RiskSlide!$A$10)/260),$C62,$B62,RiskSlide!$H91)</f>
        <v>1170.1650934171907</v>
      </c>
      <c r="AN62">
        <f>PnL(($D$7*(1+AN$2)),$E62,(RiskSlide!$A$7),($G62+AN$3),((RiskSlide!$A$10)/260),$C62,$B62,RiskSlide!$H91)</f>
        <v>-347.85073230458181</v>
      </c>
      <c r="AO62">
        <f>PnL(($D$7*(1+AO$2)),$E62,(RiskSlide!$A$7),($G62+AO$3),((RiskSlide!$A$10)/260),$C62,$B62,RiskSlide!$H91)</f>
        <v>-478.66171803228639</v>
      </c>
      <c r="AP62">
        <f>PnL(($D$7*(1+AP$2)),$E62,(RiskSlide!$A$7),($G62+AP$3),((RiskSlide!$A$10)/260),$C62,$B62,RiskSlide!$H91)</f>
        <v>-595.45661749075123</v>
      </c>
      <c r="AQ62">
        <f>PnL(($D$7*(1+AQ$2)),$E62,(RiskSlide!$A$7),($G62+AQ$3),((RiskSlide!$A$10)/260),$C62,$B62,RiskSlide!$H91)</f>
        <v>-698.21153203101187</v>
      </c>
      <c r="AR62">
        <f>PnL(($D$7*(1+AR$2)),$E62,(RiskSlide!$A$7),($G62+AR$3),((RiskSlide!$A$10)/260),$C62,$B62,RiskSlide!$H91)</f>
        <v>-787.05430252381097</v>
      </c>
      <c r="AS62">
        <f>PnL(($D$7*(1+AS$2)),$E62,(RiskSlide!$A$7),($G62+AS$3),((RiskSlide!$A$10)/260),$C62,$B62,RiskSlide!$H91)</f>
        <v>-1081.7314594305424</v>
      </c>
      <c r="AT62">
        <f>PnL(($D$7*(1+AT$2)),$E62,(RiskSlide!$A$7),($G62+AT$3),((RiskSlide!$A$10)/260),$C62,$B62,RiskSlide!$H91)</f>
        <v>-1088.4994841393423</v>
      </c>
      <c r="AU62">
        <f>PnL(($D$7*(1+AU$2)),$E62,(RiskSlide!$A$7),($G62+AU$3),((RiskSlide!$A$10)/260),$C62,$B62,RiskSlide!$H91)</f>
        <v>6029.9338050623646</v>
      </c>
      <c r="AV62">
        <f>PnL(($D$7*(1+AV$2)),$E62,(RiskSlide!$A$7),($G62+AV$3),((RiskSlide!$A$10)/260),$C62,$B62,RiskSlide!$H91)</f>
        <v>2545.6956977752698</v>
      </c>
      <c r="AW62">
        <f>PnL(($D$7*(1+AW$2)),$E62,(RiskSlide!$A$7),($G62+AW$3),((RiskSlide!$A$10)/260),$C62,$B62,RiskSlide!$H91)</f>
        <v>405.66269078288144</v>
      </c>
      <c r="AX62">
        <f>PnL(($D$7*(1+AX$2)),$E62,(RiskSlide!$A$7),($G62+AX$3),((RiskSlide!$A$10)/260),$C62,$B62,RiskSlide!$H91)</f>
        <v>195.32383280664192</v>
      </c>
      <c r="AY62">
        <f>PnL(($D$7*(1+AY$2)),$E62,(RiskSlide!$A$7),($G62+AY$3),((RiskSlide!$A$10)/260),$C62,$B62,RiskSlide!$H91)</f>
        <v>0</v>
      </c>
      <c r="AZ62">
        <f>PnL(($D$7*(1+AZ$2)),$E62,(RiskSlide!$A$7),($G62+AZ$3),((RiskSlide!$A$10)/260),$C62,$B62,RiskSlide!$H91)</f>
        <v>-179.64102084972779</v>
      </c>
      <c r="BA62">
        <f>PnL(($D$7*(1+BA$2)),$E62,(RiskSlide!$A$7),($G62+BA$3),((RiskSlide!$A$10)/260),$C62,$B62,RiskSlide!$H91)</f>
        <v>-342.98835646303087</v>
      </c>
      <c r="BB62">
        <f>PnL(($D$7*(1+BB$2)),$E62,(RiskSlide!$A$7),($G62+BB$3),((RiskSlide!$A$10)/260),$C62,$B62,RiskSlide!$H91)</f>
        <v>-1043.4691260616626</v>
      </c>
      <c r="BC62">
        <f>PnL(($D$7*(1+BC$2)),$E62,(RiskSlide!$A$7),($G62+BC$3),((RiskSlide!$A$10)/260),$C62,$B62,RiskSlide!$H91)</f>
        <v>-1088.4994841393423</v>
      </c>
      <c r="BD62">
        <f>PnL(($D$7*(1+BD$2)),$E62,(RiskSlide!$A$7),($G62+BD$3),((RiskSlide!$A$10)/260),$C62,$B62,RiskSlide!$H91)</f>
        <v>8613.6415596792867</v>
      </c>
      <c r="BE62">
        <f>PnL(($D$7*(1+BE$2)),$E62,(RiskSlide!$A$7),($G62+BE$3),((RiskSlide!$A$10)/260),$C62,$B62,RiskSlide!$H91)</f>
        <v>4513.977490815003</v>
      </c>
      <c r="BF62">
        <f>PnL(($D$7*(1+BF$2)),$E62,(RiskSlide!$A$7),($G62+BF$3),((RiskSlide!$A$10)/260),$C62,$B62,RiskSlide!$H91)</f>
        <v>1705.2853583190454</v>
      </c>
      <c r="BG62">
        <f>PnL(($D$7*(1+BG$2)),$E62,(RiskSlide!$A$7),($G62+BG$3),((RiskSlide!$A$10)/260),$C62,$B62,RiskSlide!$H91)</f>
        <v>1399.7915388437548</v>
      </c>
      <c r="BH62">
        <f>PnL(($D$7*(1+BH$2)),$E62,(RiskSlide!$A$7),($G62+BH$3),((RiskSlide!$A$10)/260),$C62,$B62,RiskSlide!$H91)</f>
        <v>1107.2229372100253</v>
      </c>
      <c r="BI62">
        <f>PnL(($D$7*(1+BI$2)),$E62,(RiskSlide!$A$7),($G62+BI$3),((RiskSlide!$A$10)/260),$C62,$B62,RiskSlide!$H91)</f>
        <v>828.60526179535304</v>
      </c>
      <c r="BJ62">
        <f>PnL(($D$7*(1+BJ$2)),$E62,(RiskSlide!$A$7),($G62+BJ$3),((RiskSlide!$A$10)/260),$C62,$B62,RiskSlide!$H91)</f>
        <v>565.03159459482936</v>
      </c>
      <c r="BK62">
        <f>PnL(($D$7*(1+BK$2)),$E62,(RiskSlide!$A$7),($G62+BK$3),((RiskSlide!$A$10)/260),$C62,$B62,RiskSlide!$H91)</f>
        <v>-864.12711784420924</v>
      </c>
      <c r="BL62">
        <f>PnL(($D$7*(1+BL$2)),$E62,(RiskSlide!$A$7),($G62+BL$3),((RiskSlide!$A$10)/260),$C62,$B62,RiskSlide!$H91)</f>
        <v>-1088.4994840986617</v>
      </c>
      <c r="BM62">
        <f>PnL(($D$7*(1+BM$2)),$E62,(RiskSlide!$A$7),($G62+BM$3),((RiskSlide!$A$10)/260),$C62,$B62,RiskSlide!$H91)</f>
        <v>11826.521209842209</v>
      </c>
      <c r="BN62">
        <f>PnL(($D$7*(1+BN$2)),$E62,(RiskSlide!$A$7),($G62+BN$3),((RiskSlide!$A$10)/260),$C62,$B62,RiskSlide!$H91)</f>
        <v>7205.7672808634979</v>
      </c>
      <c r="BO62">
        <f>PnL(($D$7*(1+BO$2)),$E62,(RiskSlide!$A$7),($G62+BO$3),((RiskSlide!$A$10)/260),$C62,$B62,RiskSlide!$H91)</f>
        <v>3774.9738643487208</v>
      </c>
      <c r="BP62">
        <f>PnL(($D$7*(1+BP$2)),$E62,(RiskSlide!$A$7),($G62+BP$3),((RiskSlide!$A$10)/260),$C62,$B62,RiskSlide!$H91)</f>
        <v>3373.6260092886341</v>
      </c>
      <c r="BQ62">
        <f>PnL(($D$7*(1+BQ$2)),$E62,(RiskSlide!$A$7),($G62+BQ$3),((RiskSlide!$A$10)/260),$C62,$B62,RiskSlide!$H91)</f>
        <v>2980.5135364035182</v>
      </c>
      <c r="BR62">
        <f>PnL(($D$7*(1+BR$2)),$E62,(RiskSlide!$A$7),($G62+BR$3),((RiskSlide!$A$10)/260),$C62,$B62,RiskSlide!$H91)</f>
        <v>2596.5058422765792</v>
      </c>
      <c r="BS62">
        <f>PnL(($D$7*(1+BS$2)),$E62,(RiskSlide!$A$7),($G62+BS$3),((RiskSlide!$A$10)/260),$C62,$B62,RiskSlide!$H91)</f>
        <v>2222.5869198085265</v>
      </c>
      <c r="BT62">
        <f>PnL(($D$7*(1+BT$2)),$E62,(RiskSlide!$A$7),($G62+BT$3),((RiskSlide!$A$10)/260),$C62,$B62,RiskSlide!$H91)</f>
        <v>-236.32924792407408</v>
      </c>
      <c r="BU62">
        <f>PnL(($D$7*(1+BU$2)),$E62,(RiskSlide!$A$7),($G62+BU$3),((RiskSlide!$A$10)/260),$C62,$B62,RiskSlide!$H91)</f>
        <v>-1088.4953490481046</v>
      </c>
      <c r="BV62">
        <f>PnL(($D$7*(1+BV$2)),$E62,(RiskSlide!$A$7),($G62+BV$3),((RiskSlide!$A$10)/260),$C62,$B62,RiskSlide!$H91)</f>
        <v>62327.593721401412</v>
      </c>
      <c r="BW62">
        <f>PnL(($D$7*(1+BW$2)),$E62,(RiskSlide!$A$7),($G62+BW$3),((RiskSlide!$A$10)/260),$C62,$B62,RiskSlide!$H91)</f>
        <v>59612.126609616556</v>
      </c>
      <c r="BX62">
        <f>PnL(($D$7*(1+BX$2)),$E62,(RiskSlide!$A$7),($G62+BX$3),((RiskSlide!$A$10)/260),$C62,$B62,RiskSlide!$H91)</f>
        <v>58225.795139572103</v>
      </c>
      <c r="BY62">
        <f>PnL(($D$7*(1+BY$2)),$E62,(RiskSlide!$A$7),($G62+BY$3),((RiskSlide!$A$10)/260),$C62,$B62,RiskSlide!$H91)</f>
        <v>58111.732722739071</v>
      </c>
      <c r="BZ62">
        <f>PnL(($D$7*(1+BZ$2)),$E62,(RiskSlide!$A$7),($G62+BZ$3),((RiskSlide!$A$10)/260),$C62,$B62,RiskSlide!$H91)</f>
        <v>58011.269478577611</v>
      </c>
      <c r="CA62">
        <f>PnL(($D$7*(1+CA$2)),$E62,(RiskSlide!$A$7),($G62+CA$3),((RiskSlide!$A$10)/260),$C62,$B62,RiskSlide!$H91)</f>
        <v>57924.232622948854</v>
      </c>
      <c r="CB62">
        <f>PnL(($D$7*(1+CB$2)),$E62,(RiskSlide!$A$7),($G62+CB$3),((RiskSlide!$A$10)/260),$C62,$B62,RiskSlide!$H91)</f>
        <v>57850.283357782544</v>
      </c>
      <c r="CC62">
        <f>PnL(($D$7*(1+CC$2)),$E62,(RiskSlide!$A$7),($G62+CC$3),((RiskSlide!$A$10)/260),$C62,$B62,RiskSlide!$H91)</f>
        <v>57623.833522180452</v>
      </c>
      <c r="CD62">
        <f>PnL(($D$7*(1+CD$2)),$E62,(RiskSlide!$A$7),($G62+CD$3),((RiskSlide!$A$10)/260),$C62,$B62,RiskSlide!$H91)</f>
        <v>57620.147481684347</v>
      </c>
      <c r="CE62">
        <f>PnL(($D$7*(1+CE$2)),$E62,(RiskSlide!$A$7),($G62+CE$3),((RiskSlide!$A$10)/260),$C62,$B62,RiskSlide!$H91)</f>
        <v>160136.58644387752</v>
      </c>
      <c r="CF62">
        <f>PnL(($D$7*(1+CF$2)),$E62,(RiskSlide!$A$7),($G62+CF$3),((RiskSlide!$A$10)/260),$C62,$B62,RiskSlide!$H91)</f>
        <v>160079.61998960009</v>
      </c>
      <c r="CG62">
        <f>PnL(($D$7*(1+CG$2)),$E62,(RiskSlide!$A$7),($G62+CG$3),((RiskSlide!$A$10)/260),$C62,$B62,RiskSlide!$H91)</f>
        <v>160077.11265727589</v>
      </c>
      <c r="CH62">
        <f>PnL(($D$7*(1+CH$2)),$E62,(RiskSlide!$A$7),($G62+CH$3),((RiskSlide!$A$10)/260),$C62,$B62,RiskSlide!$H91)</f>
        <v>160077.10323502601</v>
      </c>
      <c r="CI62">
        <f>PnL(($D$7*(1+CI$2)),$E62,(RiskSlide!$A$7),($G62+CI$3),((RiskSlide!$A$10)/260),$C62,$B62,RiskSlide!$H91)</f>
        <v>160077.09942658292</v>
      </c>
      <c r="CJ62">
        <f>PnL(($D$7*(1+CJ$2)),$E62,(RiskSlide!$A$7),($G62+CJ$3),((RiskSlide!$A$10)/260),$C62,$B62,RiskSlide!$H91)</f>
        <v>160077.09805638785</v>
      </c>
      <c r="CK62">
        <f>PnL(($D$7*(1+CK$2)),$E62,(RiskSlide!$A$7),($G62+CK$3),((RiskSlide!$A$10)/260),$C62,$B62,RiskSlide!$H91)</f>
        <v>160077.09762654291</v>
      </c>
      <c r="CL62">
        <f>PnL(($D$7*(1+CL$2)),$E62,(RiskSlide!$A$7),($G62+CL$3),((RiskSlide!$A$10)/260),$C62,$B62,RiskSlide!$H91)</f>
        <v>160077.09748168444</v>
      </c>
      <c r="CM62">
        <f>PnL(($D$7*(1+CM$2)),$E62,(RiskSlide!$A$7),($G62+CM$3),((RiskSlide!$A$10)/260),$C62,$B62,RiskSlide!$H91)</f>
        <v>160077.09748168444</v>
      </c>
    </row>
    <row r="63" spans="1:91" x14ac:dyDescent="0.25">
      <c r="A63" t="s">
        <v>58</v>
      </c>
      <c r="B63">
        <v>-4</v>
      </c>
      <c r="C63">
        <v>0</v>
      </c>
      <c r="E63">
        <v>1820</v>
      </c>
      <c r="F63">
        <v>3.5000000000000001E-3</v>
      </c>
      <c r="G63">
        <v>0.120145</v>
      </c>
      <c r="K63">
        <f>PnL(($D$7*(1+K$2)),$E63,(RiskSlide!$A$7),($G63+K$3),((RiskSlide!$A$10)/260),$C63,$B63,RiskSlide!$H92)</f>
        <v>-35447.899105180841</v>
      </c>
      <c r="L63">
        <f>PnL(($D$7*(1+L$2)),$E63,(RiskSlide!$A$7),($G63+L$3),((RiskSlide!$A$10)/260),$C63,$B63,RiskSlide!$H92)</f>
        <v>-35447.895743063644</v>
      </c>
      <c r="M63">
        <f>PnL(($D$7*(1+M$2)),$E63,(RiskSlide!$A$7),($G63+M$3),((RiskSlide!$A$10)/260),$C63,$B63,RiskSlide!$H92)</f>
        <v>-35447.895741888758</v>
      </c>
      <c r="N63">
        <f>PnL(($D$7*(1+N$2)),$E63,(RiskSlide!$A$7),($G63+N$3),((RiskSlide!$A$10)/260),$C63,$B63,RiskSlide!$H92)</f>
        <v>-35447.895741888802</v>
      </c>
      <c r="O63">
        <f>PnL(($D$7*(1+O$2)),$E63,(RiskSlide!$A$7),($G63+O$3),((RiskSlide!$A$10)/260),$C63,$B63,RiskSlide!$H92)</f>
        <v>-35447.895741888802</v>
      </c>
      <c r="P63">
        <f>PnL(($D$7*(1+P$2)),$E63,(RiskSlide!$A$7),($G63+P$3),((RiskSlide!$A$10)/260),$C63,$B63,RiskSlide!$H92)</f>
        <v>-35447.895741888802</v>
      </c>
      <c r="Q63">
        <f>PnL(($D$7*(1+Q$2)),$E63,(RiskSlide!$A$7),($G63+Q$3),((RiskSlide!$A$10)/260),$C63,$B63,RiskSlide!$H92)</f>
        <v>-35447.895741888802</v>
      </c>
      <c r="R63">
        <f>PnL(($D$7*(1+R$2)),$E63,(RiskSlide!$A$7),($G63+R$3),((RiskSlide!$A$10)/260),$C63,$B63,RiskSlide!$H92)</f>
        <v>-35447.895741888802</v>
      </c>
      <c r="S63">
        <f>PnL(($D$7*(1+S$2)),$E63,(RiskSlide!$A$7),($G63+S$3),((RiskSlide!$A$10)/260),$C63,$B63,RiskSlide!$H92)</f>
        <v>-35447.895741888802</v>
      </c>
      <c r="T63">
        <f>PnL(($D$7*(1+T$2)),$E63,(RiskSlide!$A$7),($G63+T$3),((RiskSlide!$A$10)/260),$C63,$B63,RiskSlide!$H92)</f>
        <v>-17641.166384263579</v>
      </c>
      <c r="U63">
        <f>PnL(($D$7*(1+U$2)),$E63,(RiskSlide!$A$7),($G63+U$3),((RiskSlide!$A$10)/260),$C63,$B63,RiskSlide!$H92)</f>
        <v>-17629.863435096333</v>
      </c>
      <c r="V63">
        <f>PnL(($D$7*(1+V$2)),$E63,(RiskSlide!$A$7),($G63+V$3),((RiskSlide!$A$10)/260),$C63,$B63,RiskSlide!$H92)</f>
        <v>-17629.299950473433</v>
      </c>
      <c r="W63">
        <f>PnL(($D$7*(1+W$2)),$E63,(RiskSlide!$A$7),($G63+W$3),((RiskSlide!$A$10)/260),$C63,$B63,RiskSlide!$H92)</f>
        <v>-17629.297403943383</v>
      </c>
      <c r="X63">
        <f>PnL(($D$7*(1+X$2)),$E63,(RiskSlide!$A$7),($G63+X$3),((RiskSlide!$A$10)/260),$C63,$B63,RiskSlide!$H92)</f>
        <v>-17629.296330187251</v>
      </c>
      <c r="Y63">
        <f>PnL(($D$7*(1+Y$2)),$E63,(RiskSlide!$A$7),($G63+Y$3),((RiskSlide!$A$10)/260),$C63,$B63,RiskSlide!$H92)</f>
        <v>-17629.295925018414</v>
      </c>
      <c r="Z63">
        <f>PnL(($D$7*(1+Z$2)),$E63,(RiskSlide!$A$7),($G63+Z$3),((RiskSlide!$A$10)/260),$C63,$B63,RiskSlide!$H92)</f>
        <v>-17629.295790866854</v>
      </c>
      <c r="AA63">
        <f>PnL(($D$7*(1+AA$2)),$E63,(RiskSlide!$A$7),($G63+AA$3),((RiskSlide!$A$10)/260),$C63,$B63,RiskSlide!$H92)</f>
        <v>-17629.295741888836</v>
      </c>
      <c r="AB63">
        <f>PnL(($D$7*(1+AB$2)),$E63,(RiskSlide!$A$7),($G63+AB$3),((RiskSlide!$A$10)/260),$C63,$B63,RiskSlide!$H92)</f>
        <v>-17629.295741888836</v>
      </c>
      <c r="AC63">
        <f>PnL(($D$7*(1+AC$2)),$E63,(RiskSlide!$A$7),($G63+AC$3),((RiskSlide!$A$10)/260),$C63,$B63,RiskSlide!$H92)</f>
        <v>-3992.2698029718958</v>
      </c>
      <c r="AD63">
        <f>PnL(($D$7*(1+AD$2)),$E63,(RiskSlide!$A$7),($G63+AD$3),((RiskSlide!$A$10)/260),$C63,$B63,RiskSlide!$H92)</f>
        <v>-3607.8046517572602</v>
      </c>
      <c r="AE63">
        <f>PnL(($D$7*(1+AE$2)),$E63,(RiskSlide!$A$7),($G63+AE$3),((RiskSlide!$A$10)/260),$C63,$B63,RiskSlide!$H92)</f>
        <v>-3433.3504582092701</v>
      </c>
      <c r="AF63">
        <f>PnL(($D$7*(1+AF$2)),$E63,(RiskSlide!$A$7),($G63+AF$3),((RiskSlide!$A$10)/260),$C63,$B63,RiskSlide!$H92)</f>
        <v>-3420.5897106895463</v>
      </c>
      <c r="AG63">
        <f>PnL(($D$7*(1+AG$2)),$E63,(RiskSlide!$A$7),($G63+AG$3),((RiskSlide!$A$10)/260),$C63,$B63,RiskSlide!$H92)</f>
        <v>-3409.7282891726081</v>
      </c>
      <c r="AH63">
        <f>PnL(($D$7*(1+AH$2)),$E63,(RiskSlide!$A$7),($G63+AH$3),((RiskSlide!$A$10)/260),$C63,$B63,RiskSlide!$H92)</f>
        <v>-3400.6750889260729</v>
      </c>
      <c r="AI63">
        <f>PnL(($D$7*(1+AI$2)),$E63,(RiskSlide!$A$7),($G63+AI$3),((RiskSlide!$A$10)/260),$C63,$B63,RiskSlide!$H92)</f>
        <v>-3393.3133734697094</v>
      </c>
      <c r="AJ63">
        <f>PnL(($D$7*(1+AJ$2)),$E63,(RiskSlide!$A$7),($G63+AJ$3),((RiskSlide!$A$10)/260),$C63,$B63,RiskSlide!$H92)</f>
        <v>-3374.5462961408521</v>
      </c>
      <c r="AK63">
        <f>PnL(($D$7*(1+AK$2)),$E63,(RiskSlide!$A$7),($G63+AK$3),((RiskSlide!$A$10)/260),$C63,$B63,RiskSlide!$H92)</f>
        <v>-3374.4157418888335</v>
      </c>
      <c r="AL63">
        <f>PnL(($D$7*(1+AL$2)),$E63,(RiskSlide!$A$7),($G63+AL$3),((RiskSlide!$A$10)/260),$C63,$B63,RiskSlide!$H92)</f>
        <v>-2478.5889195482923</v>
      </c>
      <c r="AM63">
        <f>PnL(($D$7*(1+AM$2)),$E63,(RiskSlide!$A$7),($G63+AM$3),((RiskSlide!$A$10)/260),$C63,$B63,RiskSlide!$H92)</f>
        <v>-1985.3669727682245</v>
      </c>
      <c r="AN63">
        <f>PnL(($D$7*(1+AN$2)),$E63,(RiskSlide!$A$7),($G63+AN$3),((RiskSlide!$A$10)/260),$C63,$B63,RiskSlide!$H92)</f>
        <v>-1721.3642204688313</v>
      </c>
      <c r="AO63">
        <f>PnL(($D$7*(1+AO$2)),$E63,(RiskSlide!$A$7),($G63+AO$3),((RiskSlide!$A$10)/260),$C63,$B63,RiskSlide!$H92)</f>
        <v>-1698.6144838204837</v>
      </c>
      <c r="AP63">
        <f>PnL(($D$7*(1+AP$2)),$E63,(RiskSlide!$A$7),($G63+AP$3),((RiskSlide!$A$10)/260),$C63,$B63,RiskSlide!$H92)</f>
        <v>-1678.3023273929302</v>
      </c>
      <c r="AQ63">
        <f>PnL(($D$7*(1+AQ$2)),$E63,(RiskSlide!$A$7),($G63+AQ$3),((RiskSlide!$A$10)/260),$C63,$B63,RiskSlide!$H92)</f>
        <v>-1660.4319074728664</v>
      </c>
      <c r="AR63">
        <f>PnL(($D$7*(1+AR$2)),$E63,(RiskSlide!$A$7),($G63+AR$3),((RiskSlide!$A$10)/260),$C63,$B63,RiskSlide!$H92)</f>
        <v>-1644.9809908654515</v>
      </c>
      <c r="AS63">
        <f>PnL(($D$7*(1+AS$2)),$E63,(RiskSlide!$A$7),($G63+AS$3),((RiskSlide!$A$10)/260),$C63,$B63,RiskSlide!$H92)</f>
        <v>-1593.7327896642273</v>
      </c>
      <c r="AT63">
        <f>PnL(($D$7*(1+AT$2)),$E63,(RiskSlide!$A$7),($G63+AT$3),((RiskSlide!$A$10)/260),$C63,$B63,RiskSlide!$H92)</f>
        <v>-1592.5557418888275</v>
      </c>
      <c r="AU63">
        <f>PnL(($D$7*(1+AU$2)),$E63,(RiskSlide!$A$7),($G63+AU$3),((RiskSlide!$A$10)/260),$C63,$B63,RiskSlide!$H92)</f>
        <v>-1048.6841400108005</v>
      </c>
      <c r="AV63">
        <f>PnL(($D$7*(1+AV$2)),$E63,(RiskSlide!$A$7),($G63+AV$3),((RiskSlide!$A$10)/260),$C63,$B63,RiskSlide!$H92)</f>
        <v>-442.72968656964622</v>
      </c>
      <c r="AW63">
        <f>PnL(($D$7*(1+AW$2)),$E63,(RiskSlide!$A$7),($G63+AW$3),((RiskSlide!$A$10)/260),$C63,$B63,RiskSlide!$H92)</f>
        <v>-70.550033179688398</v>
      </c>
      <c r="AX63">
        <f>PnL(($D$7*(1+AX$2)),$E63,(RiskSlide!$A$7),($G63+AX$3),((RiskSlide!$A$10)/260),$C63,$B63,RiskSlide!$H92)</f>
        <v>-33.969362227253441</v>
      </c>
      <c r="AY63">
        <f>PnL(($D$7*(1+AY$2)),$E63,(RiskSlide!$A$7),($G63+AY$3),((RiskSlide!$A$10)/260),$C63,$B63,RiskSlide!$H92)</f>
        <v>0</v>
      </c>
      <c r="AZ63">
        <f>PnL(($D$7*(1+AZ$2)),$E63,(RiskSlide!$A$7),($G63+AZ$3),((RiskSlide!$A$10)/260),$C63,$B63,RiskSlide!$H92)</f>
        <v>31.241916669523562</v>
      </c>
      <c r="BA63">
        <f>PnL(($D$7*(1+BA$2)),$E63,(RiskSlide!$A$7),($G63+BA$3),((RiskSlide!$A$10)/260),$C63,$B63,RiskSlide!$H92)</f>
        <v>59.650148950049697</v>
      </c>
      <c r="BB63">
        <f>PnL(($D$7*(1+BB$2)),$E63,(RiskSlide!$A$7),($G63+BB$3),((RiskSlide!$A$10)/260),$C63,$B63,RiskSlide!$H92)</f>
        <v>181.47289148896562</v>
      </c>
      <c r="BC63">
        <f>PnL(($D$7*(1+BC$2)),$E63,(RiskSlide!$A$7),($G63+BC$3),((RiskSlide!$A$10)/260),$C63,$B63,RiskSlide!$H92)</f>
        <v>189.30425811117857</v>
      </c>
      <c r="BD63">
        <f>PnL(($D$7*(1+BD$2)),$E63,(RiskSlide!$A$7),($G63+BD$3),((RiskSlide!$A$10)/260),$C63,$B63,RiskSlide!$H92)</f>
        <v>283.83538092525669</v>
      </c>
      <c r="BE63">
        <f>PnL(($D$7*(1+BE$2)),$E63,(RiskSlide!$A$7),($G63+BE$3),((RiskSlide!$A$10)/260),$C63,$B63,RiskSlide!$H92)</f>
        <v>996.82043637999413</v>
      </c>
      <c r="BF63">
        <f>PnL(($D$7*(1+BF$2)),$E63,(RiskSlide!$A$7),($G63+BF$3),((RiskSlide!$A$10)/260),$C63,$B63,RiskSlide!$H92)</f>
        <v>1485.2886333357674</v>
      </c>
      <c r="BG63">
        <f>PnL(($D$7*(1+BG$2)),$E63,(RiskSlide!$A$7),($G63+BG$3),((RiskSlide!$A$10)/260),$C63,$B63,RiskSlide!$H92)</f>
        <v>1538.4179932445022</v>
      </c>
      <c r="BH63">
        <f>PnL(($D$7*(1+BH$2)),$E63,(RiskSlide!$A$7),($G63+BH$3),((RiskSlide!$A$10)/260),$C63,$B63,RiskSlide!$H92)</f>
        <v>1589.299489180803</v>
      </c>
      <c r="BI63">
        <f>PnL(($D$7*(1+BI$2)),$E63,(RiskSlide!$A$7),($G63+BI$3),((RiskSlide!$A$10)/260),$C63,$B63,RiskSlide!$H92)</f>
        <v>1637.754737079058</v>
      </c>
      <c r="BJ63">
        <f>PnL(($D$7*(1+BJ$2)),$E63,(RiskSlide!$A$7),($G63+BJ$3),((RiskSlide!$A$10)/260),$C63,$B63,RiskSlide!$H92)</f>
        <v>1683.5936357225819</v>
      </c>
      <c r="BK63">
        <f>PnL(($D$7*(1+BK$2)),$E63,(RiskSlide!$A$7),($G63+BK$3),((RiskSlide!$A$10)/260),$C63,$B63,RiskSlide!$H92)</f>
        <v>1932.1429770163377</v>
      </c>
      <c r="BL63">
        <f>PnL(($D$7*(1+BL$2)),$E63,(RiskSlide!$A$7),($G63+BL$3),((RiskSlide!$A$10)/260),$C63,$B63,RiskSlide!$H92)</f>
        <v>1971.1642581040905</v>
      </c>
      <c r="BM63">
        <f>PnL(($D$7*(1+BM$2)),$E63,(RiskSlide!$A$7),($G63+BM$3),((RiskSlide!$A$10)/260),$C63,$B63,RiskSlide!$H92)</f>
        <v>1506.9337026361154</v>
      </c>
      <c r="BN63">
        <f>PnL(($D$7*(1+BN$2)),$E63,(RiskSlide!$A$7),($G63+BN$3),((RiskSlide!$A$10)/260),$C63,$B63,RiskSlide!$H92)</f>
        <v>2310.5430815889576</v>
      </c>
      <c r="BO63">
        <f>PnL(($D$7*(1+BO$2)),$E63,(RiskSlide!$A$7),($G63+BO$3),((RiskSlide!$A$10)/260),$C63,$B63,RiskSlide!$H92)</f>
        <v>2907.2028062001664</v>
      </c>
      <c r="BP63">
        <f>PnL(($D$7*(1+BP$2)),$E63,(RiskSlide!$A$7),($G63+BP$3),((RiskSlide!$A$10)/260),$C63,$B63,RiskSlide!$H92)</f>
        <v>2977.0024331671721</v>
      </c>
      <c r="BQ63">
        <f>PnL(($D$7*(1+BQ$2)),$E63,(RiskSlide!$A$7),($G63+BQ$3),((RiskSlide!$A$10)/260),$C63,$B63,RiskSlide!$H92)</f>
        <v>3045.3698197558879</v>
      </c>
      <c r="BR63">
        <f>PnL(($D$7*(1+BR$2)),$E63,(RiskSlide!$A$7),($G63+BR$3),((RiskSlide!$A$10)/260),$C63,$B63,RiskSlide!$H92)</f>
        <v>3112.1537665605956</v>
      </c>
      <c r="BS63">
        <f>PnL(($D$7*(1+BS$2)),$E63,(RiskSlide!$A$7),($G63+BS$3),((RiskSlide!$A$10)/260),$C63,$B63,RiskSlide!$H92)</f>
        <v>3177.1831443811152</v>
      </c>
      <c r="BT63">
        <f>PnL(($D$7*(1+BT$2)),$E63,(RiskSlide!$A$7),($G63+BT$3),((RiskSlide!$A$10)/260),$C63,$B63,RiskSlide!$H92)</f>
        <v>3604.820738769331</v>
      </c>
      <c r="BU63">
        <f>PnL(($D$7*(1+BU$2)),$E63,(RiskSlide!$A$7),($G63+BU$3),((RiskSlide!$A$10)/260),$C63,$B63,RiskSlide!$H92)</f>
        <v>3753.0235389648624</v>
      </c>
      <c r="BV63">
        <f>PnL(($D$7*(1+BV$2)),$E63,(RiskSlide!$A$7),($G63+BV$3),((RiskSlide!$A$10)/260),$C63,$B63,RiskSlide!$H92)</f>
        <v>6979.0184832345512</v>
      </c>
      <c r="BW63">
        <f>PnL(($D$7*(1+BW$2)),$E63,(RiskSlide!$A$7),($G63+BW$3),((RiskSlide!$A$10)/260),$C63,$B63,RiskSlide!$H92)</f>
        <v>7451.2736331101678</v>
      </c>
      <c r="BX63">
        <f>PnL(($D$7*(1+BX$2)),$E63,(RiskSlide!$A$7),($G63+BX$3),((RiskSlide!$A$10)/260),$C63,$B63,RiskSlide!$H92)</f>
        <v>7692.3747583352624</v>
      </c>
      <c r="BY63">
        <f>PnL(($D$7*(1+BY$2)),$E63,(RiskSlide!$A$7),($G63+BY$3),((RiskSlide!$A$10)/260),$C63,$B63,RiskSlide!$H92)</f>
        <v>7712.2117003932262</v>
      </c>
      <c r="BZ63">
        <f>PnL(($D$7*(1+BZ$2)),$E63,(RiskSlide!$A$7),($G63+BZ$3),((RiskSlide!$A$10)/260),$C63,$B63,RiskSlide!$H92)</f>
        <v>7729.6835689430263</v>
      </c>
      <c r="CA63">
        <f>PnL(($D$7*(1+CA$2)),$E63,(RiskSlide!$A$7),($G63+CA$3),((RiskSlide!$A$10)/260),$C63,$B63,RiskSlide!$H92)</f>
        <v>7744.8204134001644</v>
      </c>
      <c r="CB63">
        <f>PnL(($D$7*(1+CB$2)),$E63,(RiskSlide!$A$7),($G63+CB$3),((RiskSlide!$A$10)/260),$C63,$B63,RiskSlide!$H92)</f>
        <v>7757.6811551682667</v>
      </c>
      <c r="CC63">
        <f>PnL(($D$7*(1+CC$2)),$E63,(RiskSlide!$A$7),($G63+CC$3),((RiskSlide!$A$10)/260),$C63,$B63,RiskSlide!$H92)</f>
        <v>7797.0637352729582</v>
      </c>
      <c r="CD63">
        <f>PnL(($D$7*(1+CD$2)),$E63,(RiskSlide!$A$7),($G63+CD$3),((RiskSlide!$A$10)/260),$C63,$B63,RiskSlide!$H92)</f>
        <v>7797.7047857940306</v>
      </c>
      <c r="CE63">
        <f>PnL(($D$7*(1+CE$2)),$E63,(RiskSlide!$A$7),($G63+CE$3),((RiskSlide!$A$10)/260),$C63,$B63,RiskSlide!$H92)</f>
        <v>7787.3588793256658</v>
      </c>
      <c r="CF63">
        <f>PnL(($D$7*(1+CF$2)),$E63,(RiskSlide!$A$7),($G63+CF$3),((RiskSlide!$A$10)/260),$C63,$B63,RiskSlide!$H92)</f>
        <v>7797.2660887652055</v>
      </c>
      <c r="CG63">
        <f>PnL(($D$7*(1+CG$2)),$E63,(RiskSlide!$A$7),($G63+CG$3),((RiskSlide!$A$10)/260),$C63,$B63,RiskSlide!$H92)</f>
        <v>7797.7021465607322</v>
      </c>
      <c r="CH63">
        <f>PnL(($D$7*(1+CH$2)),$E63,(RiskSlide!$A$7),($G63+CH$3),((RiskSlide!$A$10)/260),$C63,$B63,RiskSlide!$H92)</f>
        <v>7797.7037852129215</v>
      </c>
      <c r="CI63">
        <f>PnL(($D$7*(1+CI$2)),$E63,(RiskSlide!$A$7),($G63+CI$3),((RiskSlide!$A$10)/260),$C63,$B63,RiskSlide!$H92)</f>
        <v>7797.7044475507982</v>
      </c>
      <c r="CJ63">
        <f>PnL(($D$7*(1+CJ$2)),$E63,(RiskSlide!$A$7),($G63+CJ$3),((RiskSlide!$A$10)/260),$C63,$B63,RiskSlide!$H92)</f>
        <v>7797.7046858455878</v>
      </c>
      <c r="CK63">
        <f>PnL(($D$7*(1+CK$2)),$E63,(RiskSlide!$A$7),($G63+CK$3),((RiskSlide!$A$10)/260),$C63,$B63,RiskSlide!$H92)</f>
        <v>7797.7047606012302</v>
      </c>
      <c r="CL63">
        <f>PnL(($D$7*(1+CL$2)),$E63,(RiskSlide!$A$7),($G63+CL$3),((RiskSlide!$A$10)/260),$C63,$B63,RiskSlide!$H92)</f>
        <v>7797.7047857940306</v>
      </c>
      <c r="CM63">
        <f>PnL(($D$7*(1+CM$2)),$E63,(RiskSlide!$A$7),($G63+CM$3),((RiskSlide!$A$10)/260),$C63,$B63,RiskSlide!$H92)</f>
        <v>7797.7047857940306</v>
      </c>
    </row>
    <row r="64" spans="1:91" x14ac:dyDescent="0.25">
      <c r="A64" t="s">
        <v>59</v>
      </c>
      <c r="B64">
        <v>-35</v>
      </c>
      <c r="C64">
        <v>1</v>
      </c>
      <c r="E64">
        <v>1825</v>
      </c>
      <c r="F64">
        <v>3.5000000000000001E-3</v>
      </c>
      <c r="G64">
        <v>0.120115</v>
      </c>
      <c r="K64">
        <f>PnL(($D$7*(1+K$2)),$E64,(RiskSlide!$A$7),($G64+K$3),((RiskSlide!$A$10)/260),$C64,$B64,RiskSlide!$H93)</f>
        <v>1087.3478886714081</v>
      </c>
      <c r="L64">
        <f>PnL(($D$7*(1+L$2)),$E64,(RiskSlide!$A$7),($G64+L$3),((RiskSlide!$A$10)/260),$C64,$B64,RiskSlide!$H93)</f>
        <v>1087.3655403799721</v>
      </c>
      <c r="M64">
        <f>PnL(($D$7*(1+M$2)),$E64,(RiskSlide!$A$7),($G64+M$3),((RiskSlide!$A$10)/260),$C64,$B64,RiskSlide!$H93)</f>
        <v>1087.3655448477139</v>
      </c>
      <c r="N64">
        <f>PnL(($D$7*(1+N$2)),$E64,(RiskSlide!$A$7),($G64+N$3),((RiskSlide!$A$10)/260),$C64,$B64,RiskSlide!$H93)</f>
        <v>1087.365544847717</v>
      </c>
      <c r="O64">
        <f>PnL(($D$7*(1+O$2)),$E64,(RiskSlide!$A$7),($G64+O$3),((RiskSlide!$A$10)/260),$C64,$B64,RiskSlide!$H93)</f>
        <v>1087.3655448477173</v>
      </c>
      <c r="P64">
        <f>PnL(($D$7*(1+P$2)),$E64,(RiskSlide!$A$7),($G64+P$3),((RiskSlide!$A$10)/260),$C64,$B64,RiskSlide!$H93)</f>
        <v>1087.3655448477173</v>
      </c>
      <c r="Q64">
        <f>PnL(($D$7*(1+Q$2)),$E64,(RiskSlide!$A$7),($G64+Q$3),((RiskSlide!$A$10)/260),$C64,$B64,RiskSlide!$H93)</f>
        <v>1087.3655448477173</v>
      </c>
      <c r="R64">
        <f>PnL(($D$7*(1+R$2)),$E64,(RiskSlide!$A$7),($G64+R$3),((RiskSlide!$A$10)/260),$C64,$B64,RiskSlide!$H93)</f>
        <v>1087.3655448477173</v>
      </c>
      <c r="S64">
        <f>PnL(($D$7*(1+S$2)),$E64,(RiskSlide!$A$7),($G64+S$3),((RiskSlide!$A$10)/260),$C64,$B64,RiskSlide!$H93)</f>
        <v>1087.3655448477173</v>
      </c>
      <c r="T64">
        <f>PnL(($D$7*(1+T$2)),$E64,(RiskSlide!$A$7),($G64+T$3),((RiskSlide!$A$10)/260),$C64,$B64,RiskSlide!$H93)</f>
        <v>1012.6030714369346</v>
      </c>
      <c r="U64">
        <f>PnL(($D$7*(1+U$2)),$E64,(RiskSlide!$A$7),($G64+U$3),((RiskSlide!$A$10)/260),$C64,$B64,RiskSlide!$H93)</f>
        <v>1084.4066129980645</v>
      </c>
      <c r="V64">
        <f>PnL(($D$7*(1+V$2)),$E64,(RiskSlide!$A$7),($G64+V$3),((RiskSlide!$A$10)/260),$C64,$B64,RiskSlide!$H93)</f>
        <v>1087.349763209143</v>
      </c>
      <c r="W64">
        <f>PnL(($D$7*(1+W$2)),$E64,(RiskSlide!$A$7),($G64+W$3),((RiskSlide!$A$10)/260),$C64,$B64,RiskSlide!$H93)</f>
        <v>1087.3597014498148</v>
      </c>
      <c r="X64">
        <f>PnL(($D$7*(1+X$2)),$E64,(RiskSlide!$A$7),($G64+X$3),((RiskSlide!$A$10)/260),$C64,$B64,RiskSlide!$H93)</f>
        <v>1087.3636214380053</v>
      </c>
      <c r="Y64">
        <f>PnL(($D$7*(1+Y$2)),$E64,(RiskSlide!$A$7),($G64+Y$3),((RiskSlide!$A$10)/260),$C64,$B64,RiskSlide!$H93)</f>
        <v>1087.3649933999532</v>
      </c>
      <c r="Z64">
        <f>PnL(($D$7*(1+Z$2)),$E64,(RiskSlide!$A$7),($G64+Z$3),((RiskSlide!$A$10)/260),$C64,$B64,RiskSlide!$H93)</f>
        <v>1087.3654105535859</v>
      </c>
      <c r="AA64">
        <f>PnL(($D$7*(1+AA$2)),$E64,(RiskSlide!$A$7),($G64+AA$3),((RiskSlide!$A$10)/260),$C64,$B64,RiskSlide!$H93)</f>
        <v>1087.3655448477173</v>
      </c>
      <c r="AB64">
        <f>PnL(($D$7*(1+AB$2)),$E64,(RiskSlide!$A$7),($G64+AB$3),((RiskSlide!$A$10)/260),$C64,$B64,RiskSlide!$H93)</f>
        <v>1087.3655448477173</v>
      </c>
      <c r="AC64">
        <f>PnL(($D$7*(1+AC$2)),$E64,(RiskSlide!$A$7),($G64+AC$3),((RiskSlide!$A$10)/260),$C64,$B64,RiskSlide!$H93)</f>
        <v>-3318.5700134700332</v>
      </c>
      <c r="AD64">
        <f>PnL(($D$7*(1+AD$2)),$E64,(RiskSlide!$A$7),($G64+AD$3),((RiskSlide!$A$10)/260),$C64,$B64,RiskSlide!$H93)</f>
        <v>-425.34003947764984</v>
      </c>
      <c r="AE64">
        <f>PnL(($D$7*(1+AE$2)),$E64,(RiskSlide!$A$7),($G64+AE$3),((RiskSlide!$A$10)/260),$C64,$B64,RiskSlide!$H93)</f>
        <v>761.12733446258483</v>
      </c>
      <c r="AF64">
        <f>PnL(($D$7*(1+AF$2)),$E64,(RiskSlide!$A$7),($G64+AF$3),((RiskSlide!$A$10)/260),$C64,$B64,RiskSlide!$H93)</f>
        <v>839.36486963048299</v>
      </c>
      <c r="AG64">
        <f>PnL(($D$7*(1+AG$2)),$E64,(RiskSlide!$A$7),($G64+AG$3),((RiskSlide!$A$10)/260),$C64,$B64,RiskSlide!$H93)</f>
        <v>904.00914809086169</v>
      </c>
      <c r="AH64">
        <f>PnL(($D$7*(1+AH$2)),$E64,(RiskSlide!$A$7),($G64+AH$3),((RiskSlide!$A$10)/260),$C64,$B64,RiskSlide!$H93)</f>
        <v>956.11377824234319</v>
      </c>
      <c r="AI64">
        <f>PnL(($D$7*(1+AI$2)),$E64,(RiskSlide!$A$7),($G64+AI$3),((RiskSlide!$A$10)/260),$C64,$B64,RiskSlide!$H93)</f>
        <v>996.89959504509761</v>
      </c>
      <c r="AJ64">
        <f>PnL(($D$7*(1+AJ$2)),$E64,(RiskSlide!$A$7),($G64+AJ$3),((RiskSlide!$A$10)/260),$C64,$B64,RiskSlide!$H93)</f>
        <v>1087.06324036668</v>
      </c>
      <c r="AK64">
        <f>PnL(($D$7*(1+AK$2)),$E64,(RiskSlide!$A$7),($G64+AK$3),((RiskSlide!$A$10)/260),$C64,$B64,RiskSlide!$H93)</f>
        <v>1087.3655448477173</v>
      </c>
      <c r="AL64">
        <f>PnL(($D$7*(1+AL$2)),$E64,(RiskSlide!$A$7),($G64+AL$3),((RiskSlide!$A$10)/260),$C64,$B64,RiskSlide!$H93)</f>
        <v>-5317.9687159055329</v>
      </c>
      <c r="AM64">
        <f>PnL(($D$7*(1+AM$2)),$E64,(RiskSlide!$A$7),($G64+AM$3),((RiskSlide!$A$10)/260),$C64,$B64,RiskSlide!$H93)</f>
        <v>-1520.5199483996062</v>
      </c>
      <c r="AN64">
        <f>PnL(($D$7*(1+AN$2)),$E64,(RiskSlide!$A$7),($G64+AN$3),((RiskSlide!$A$10)/260),$C64,$B64,RiskSlide!$H93)</f>
        <v>342.84064738194434</v>
      </c>
      <c r="AO64">
        <f>PnL(($D$7*(1+AO$2)),$E64,(RiskSlide!$A$7),($G64+AO$3),((RiskSlide!$A$10)/260),$C64,$B64,RiskSlide!$H93)</f>
        <v>490.25269665798811</v>
      </c>
      <c r="AP64">
        <f>PnL(($D$7*(1+AP$2)),$E64,(RiskSlide!$A$7),($G64+AP$3),((RiskSlide!$A$10)/260),$C64,$B64,RiskSlide!$H93)</f>
        <v>618.60665944442064</v>
      </c>
      <c r="AQ64">
        <f>PnL(($D$7*(1+AQ$2)),$E64,(RiskSlide!$A$7),($G64+AQ$3),((RiskSlide!$A$10)/260),$C64,$B64,RiskSlide!$H93)</f>
        <v>728.37263407777539</v>
      </c>
      <c r="AR64">
        <f>PnL(($D$7*(1+AR$2)),$E64,(RiskSlide!$A$7),($G64+AR$3),((RiskSlide!$A$10)/260),$C64,$B64,RiskSlide!$H93)</f>
        <v>820.26815344430042</v>
      </c>
      <c r="AS64">
        <f>PnL(($D$7*(1+AS$2)),$E64,(RiskSlide!$A$7),($G64+AS$3),((RiskSlide!$A$10)/260),$C64,$B64,RiskSlide!$H93)</f>
        <v>1084.1481392286423</v>
      </c>
      <c r="AT64">
        <f>PnL(($D$7*(1+AT$2)),$E64,(RiskSlide!$A$7),($G64+AT$3),((RiskSlide!$A$10)/260),$C64,$B64,RiskSlide!$H93)</f>
        <v>1087.3655448477173</v>
      </c>
      <c r="AU64">
        <f>PnL(($D$7*(1+AU$2)),$E64,(RiskSlide!$A$7),($G64+AU$3),((RiskSlide!$A$10)/260),$C64,$B64,RiskSlide!$H93)</f>
        <v>-7981.0962465728717</v>
      </c>
      <c r="AV64">
        <f>PnL(($D$7*(1+AV$2)),$E64,(RiskSlide!$A$7),($G64+AV$3),((RiskSlide!$A$10)/260),$C64,$B64,RiskSlide!$H93)</f>
        <v>-3206.7410363712588</v>
      </c>
      <c r="AW64">
        <f>PnL(($D$7*(1+AW$2)),$E64,(RiskSlide!$A$7),($G64+AW$3),((RiskSlide!$A$10)/260),$C64,$B64,RiskSlide!$H93)</f>
        <v>-478.27703352871606</v>
      </c>
      <c r="AX64">
        <f>PnL(($D$7*(1+AX$2)),$E64,(RiskSlide!$A$7),($G64+AX$3),((RiskSlide!$A$10)/260),$C64,$B64,RiskSlide!$H93)</f>
        <v>-227.83617562443936</v>
      </c>
      <c r="AY64">
        <f>PnL(($D$7*(1+AY$2)),$E64,(RiskSlide!$A$7),($G64+AY$3),((RiskSlide!$A$10)/260),$C64,$B64,RiskSlide!$H93)</f>
        <v>0</v>
      </c>
      <c r="AZ64">
        <f>PnL(($D$7*(1+AZ$2)),$E64,(RiskSlide!$A$7),($G64+AZ$3),((RiskSlide!$A$10)/260),$C64,$B64,RiskSlide!$H93)</f>
        <v>204.73617257155041</v>
      </c>
      <c r="BA64">
        <f>PnL(($D$7*(1+BA$2)),$E64,(RiskSlide!$A$7),($G64+BA$3),((RiskSlide!$A$10)/260),$C64,$B64,RiskSlide!$H93)</f>
        <v>386.05910684473344</v>
      </c>
      <c r="BB64">
        <f>PnL(($D$7*(1+BB$2)),$E64,(RiskSlide!$A$7),($G64+BB$3),((RiskSlide!$A$10)/260),$C64,$B64,RiskSlide!$H93)</f>
        <v>1062.2369277815208</v>
      </c>
      <c r="BC64">
        <f>PnL(($D$7*(1+BC$2)),$E64,(RiskSlide!$A$7),($G64+BC$3),((RiskSlide!$A$10)/260),$C64,$B64,RiskSlide!$H93)</f>
        <v>1087.3655448477173</v>
      </c>
      <c r="BD64">
        <f>PnL(($D$7*(1+BD$2)),$E64,(RiskSlide!$A$7),($G64+BD$3),((RiskSlide!$A$10)/260),$C64,$B64,RiskSlide!$H93)</f>
        <v>-11430.088542645319</v>
      </c>
      <c r="BE64">
        <f>PnL(($D$7*(1+BE$2)),$E64,(RiskSlide!$A$7),($G64+BE$3),((RiskSlide!$A$10)/260),$C64,$B64,RiskSlide!$H93)</f>
        <v>-5680.2633625321841</v>
      </c>
      <c r="BF64">
        <f>PnL(($D$7*(1+BF$2)),$E64,(RiskSlide!$A$7),($G64+BF$3),((RiskSlide!$A$10)/260),$C64,$B64,RiskSlide!$H93)</f>
        <v>-1958.2982793470869</v>
      </c>
      <c r="BG64">
        <f>PnL(($D$7*(1+BG$2)),$E64,(RiskSlide!$A$7),($G64+BG$3),((RiskSlide!$A$10)/260),$C64,$B64,RiskSlide!$H93)</f>
        <v>-1574.0942614116911</v>
      </c>
      <c r="BH64">
        <f>PnL(($D$7*(1+BH$2)),$E64,(RiskSlide!$A$7),($G64+BH$3),((RiskSlide!$A$10)/260),$C64,$B64,RiskSlide!$H93)</f>
        <v>-1211.9796493401971</v>
      </c>
      <c r="BI64">
        <f>PnL(($D$7*(1+BI$2)),$E64,(RiskSlide!$A$7),($G64+BI$3),((RiskSlide!$A$10)/260),$C64,$B64,RiskSlide!$H93)</f>
        <v>-873.3053902894419</v>
      </c>
      <c r="BJ64">
        <f>PnL(($D$7*(1+BJ$2)),$E64,(RiskSlide!$A$7),($G64+BJ$3),((RiskSlide!$A$10)/260),$C64,$B64,RiskSlide!$H93)</f>
        <v>-559.42562432245427</v>
      </c>
      <c r="BK64">
        <f>PnL(($D$7*(1+BK$2)),$E64,(RiskSlide!$A$7),($G64+BK$3),((RiskSlide!$A$10)/260),$C64,$B64,RiskSlide!$H93)</f>
        <v>941.41466989018147</v>
      </c>
      <c r="BL64">
        <f>PnL(($D$7*(1+BL$2)),$E64,(RiskSlide!$A$7),($G64+BL$3),((RiskSlide!$A$10)/260),$C64,$B64,RiskSlide!$H93)</f>
        <v>1087.3655448476982</v>
      </c>
      <c r="BM64">
        <f>PnL(($D$7*(1+BM$2)),$E64,(RiskSlide!$A$7),($G64+BM$3),((RiskSlide!$A$10)/260),$C64,$B64,RiskSlide!$H93)</f>
        <v>-15778.36570093778</v>
      </c>
      <c r="BN64">
        <f>PnL(($D$7*(1+BN$2)),$E64,(RiskSlide!$A$7),($G64+BN$3),((RiskSlide!$A$10)/260),$C64,$B64,RiskSlide!$H93)</f>
        <v>-9144.5330737032964</v>
      </c>
      <c r="BO64">
        <f>PnL(($D$7*(1+BO$2)),$E64,(RiskSlide!$A$7),($G64+BO$3),((RiskSlide!$A$10)/260),$C64,$B64,RiskSlide!$H93)</f>
        <v>-4416.8734558765655</v>
      </c>
      <c r="BP64">
        <f>PnL(($D$7*(1+BP$2)),$E64,(RiskSlide!$A$7),($G64+BP$3),((RiskSlide!$A$10)/260),$C64,$B64,RiskSlide!$H93)</f>
        <v>-3883.871555950062</v>
      </c>
      <c r="BQ64">
        <f>PnL(($D$7*(1+BQ$2)),$E64,(RiskSlide!$A$7),($G64+BQ$3),((RiskSlide!$A$10)/260),$C64,$B64,RiskSlide!$H93)</f>
        <v>-3367.7504351505368</v>
      </c>
      <c r="BR64">
        <f>PnL(($D$7*(1+BR$2)),$E64,(RiskSlide!$A$7),($G64+BR$3),((RiskSlide!$A$10)/260),$C64,$B64,RiskSlide!$H93)</f>
        <v>-2870.066123817775</v>
      </c>
      <c r="BS64">
        <f>PnL(($D$7*(1+BS$2)),$E64,(RiskSlide!$A$7),($G64+BS$3),((RiskSlide!$A$10)/260),$C64,$B64,RiskSlide!$H93)</f>
        <v>-2392.5309374195331</v>
      </c>
      <c r="BT64">
        <f>PnL(($D$7*(1+BT$2)),$E64,(RiskSlide!$A$7),($G64+BT$3),((RiskSlide!$A$10)/260),$C64,$B64,RiskSlide!$H93)</f>
        <v>446.91334216480527</v>
      </c>
      <c r="BU64">
        <f>PnL(($D$7*(1+BU$2)),$E64,(RiskSlide!$A$7),($G64+BU$3),((RiskSlide!$A$10)/260),$C64,$B64,RiskSlide!$H93)</f>
        <v>1087.3655286000601</v>
      </c>
      <c r="BV64">
        <f>PnL(($D$7*(1+BV$2)),$E64,(RiskSlide!$A$7),($G64+BV$3),((RiskSlide!$A$10)/260),$C64,$B64,RiskSlide!$H93)</f>
        <v>-88161.888507153737</v>
      </c>
      <c r="BW64">
        <f>PnL(($D$7*(1+BW$2)),$E64,(RiskSlide!$A$7),($G64+BW$3),((RiskSlide!$A$10)/260),$C64,$B64,RiskSlide!$H93)</f>
        <v>-83480.698350315564</v>
      </c>
      <c r="BX64">
        <f>PnL(($D$7*(1+BX$2)),$E64,(RiskSlide!$A$7),($G64+BX$3),((RiskSlide!$A$10)/260),$C64,$B64,RiskSlide!$H93)</f>
        <v>-80884.044180888406</v>
      </c>
      <c r="BY64">
        <f>PnL(($D$7*(1+BY$2)),$E64,(RiskSlide!$A$7),($G64+BY$3),((RiskSlide!$A$10)/260),$C64,$B64,RiskSlide!$H93)</f>
        <v>-80652.429840041019</v>
      </c>
      <c r="BZ64">
        <f>PnL(($D$7*(1+BZ$2)),$E64,(RiskSlide!$A$7),($G64+BZ$3),((RiskSlide!$A$10)/260),$C64,$B64,RiskSlide!$H93)</f>
        <v>-80443.509662785873</v>
      </c>
      <c r="CA64">
        <f>PnL(($D$7*(1+CA$2)),$E64,(RiskSlide!$A$7),($G64+CA$3),((RiskSlide!$A$10)/260),$C64,$B64,RiskSlide!$H93)</f>
        <v>-80257.571414680235</v>
      </c>
      <c r="CB64">
        <f>PnL(($D$7*(1+CB$2)),$E64,(RiskSlide!$A$7),($G64+CB$3),((RiskSlide!$A$10)/260),$C64,$B64,RiskSlide!$H93)</f>
        <v>-80094.688506751438</v>
      </c>
      <c r="CC64">
        <f>PnL(($D$7*(1+CC$2)),$E64,(RiskSlide!$A$7),($G64+CC$3),((RiskSlide!$A$10)/260),$C64,$B64,RiskSlide!$H93)</f>
        <v>-79519.487476373644</v>
      </c>
      <c r="CD64">
        <f>PnL(($D$7*(1+CD$2)),$E64,(RiskSlide!$A$7),($G64+CD$3),((RiskSlide!$A$10)/260),$C64,$B64,RiskSlide!$H93)</f>
        <v>-79502.350979088718</v>
      </c>
      <c r="CE64">
        <f>PnL(($D$7*(1+CE$2)),$E64,(RiskSlide!$A$7),($G64+CE$3),((RiskSlide!$A$10)/260),$C64,$B64,RiskSlide!$H93)</f>
        <v>-235540.49120674789</v>
      </c>
      <c r="CF64">
        <f>PnL(($D$7*(1+CF$2)),$E64,(RiskSlide!$A$7),($G64+CF$3),((RiskSlide!$A$10)/260),$C64,$B64,RiskSlide!$H93)</f>
        <v>-235421.49453370346</v>
      </c>
      <c r="CG64">
        <f>PnL(($D$7*(1+CG$2)),$E64,(RiskSlide!$A$7),($G64+CG$3),((RiskSlide!$A$10)/260),$C64,$B64,RiskSlide!$H93)</f>
        <v>-235415.15392418165</v>
      </c>
      <c r="CH64">
        <f>PnL(($D$7*(1+CH$2)),$E64,(RiskSlide!$A$7),($G64+CH$3),((RiskSlide!$A$10)/260),$C64,$B64,RiskSlide!$H93)</f>
        <v>-235415.12234385486</v>
      </c>
      <c r="CI64">
        <f>PnL(($D$7*(1+CI$2)),$E64,(RiskSlide!$A$7),($G64+CI$3),((RiskSlide!$A$10)/260),$C64,$B64,RiskSlide!$H93)</f>
        <v>-235415.10872701171</v>
      </c>
      <c r="CJ64">
        <f>PnL(($D$7*(1+CJ$2)),$E64,(RiskSlide!$A$7),($G64+CJ$3),((RiskSlide!$A$10)/260),$C64,$B64,RiskSlide!$H93)</f>
        <v>-235415.10345798417</v>
      </c>
      <c r="CK64">
        <f>PnL(($D$7*(1+CK$2)),$E64,(RiskSlide!$A$7),($G64+CK$3),((RiskSlide!$A$10)/260),$C64,$B64,RiskSlide!$H93)</f>
        <v>-235415.10166306896</v>
      </c>
      <c r="CL64">
        <f>PnL(($D$7*(1+CL$2)),$E64,(RiskSlide!$A$7),($G64+CL$3),((RiskSlide!$A$10)/260),$C64,$B64,RiskSlide!$H93)</f>
        <v>-235415.10097908881</v>
      </c>
      <c r="CM64">
        <f>PnL(($D$7*(1+CM$2)),$E64,(RiskSlide!$A$7),($G64+CM$3),((RiskSlide!$A$10)/260),$C64,$B64,RiskSlide!$H93)</f>
        <v>-235415.10097908881</v>
      </c>
    </row>
    <row r="65" spans="1:91" x14ac:dyDescent="0.25">
      <c r="A65" t="s">
        <v>60</v>
      </c>
      <c r="B65">
        <v>-3</v>
      </c>
      <c r="C65">
        <v>1</v>
      </c>
      <c r="E65">
        <v>1830</v>
      </c>
      <c r="F65">
        <v>3.5000000000000001E-3</v>
      </c>
      <c r="G65">
        <v>0.120668</v>
      </c>
      <c r="K65">
        <f>PnL(($D$7*(1+K$2)),$E65,(RiskSlide!$A$7),($G65+K$3),((RiskSlide!$A$10)/260),$C65,$B65,RiskSlide!$H94)</f>
        <v>61.224699322436919</v>
      </c>
      <c r="L65">
        <f>PnL(($D$7*(1+L$2)),$E65,(RiskSlide!$A$7),($G65+L$3),((RiskSlide!$A$10)/260),$C65,$B65,RiskSlide!$H94)</f>
        <v>61.225664013969521</v>
      </c>
      <c r="M65">
        <f>PnL(($D$7*(1+M$2)),$E65,(RiskSlide!$A$7),($G65+M$3),((RiskSlide!$A$10)/260),$C65,$B65,RiskSlide!$H94)</f>
        <v>61.225664203293817</v>
      </c>
      <c r="N65">
        <f>PnL(($D$7*(1+N$2)),$E65,(RiskSlide!$A$7),($G65+N$3),((RiskSlide!$A$10)/260),$C65,$B65,RiskSlide!$H94)</f>
        <v>61.22566420329391</v>
      </c>
      <c r="O65">
        <f>PnL(($D$7*(1+O$2)),$E65,(RiskSlide!$A$7),($G65+O$3),((RiskSlide!$A$10)/260),$C65,$B65,RiskSlide!$H94)</f>
        <v>61.225664203293917</v>
      </c>
      <c r="P65">
        <f>PnL(($D$7*(1+P$2)),$E65,(RiskSlide!$A$7),($G65+P$3),((RiskSlide!$A$10)/260),$C65,$B65,RiskSlide!$H94)</f>
        <v>61.225664203293917</v>
      </c>
      <c r="Q65">
        <f>PnL(($D$7*(1+Q$2)),$E65,(RiskSlide!$A$7),($G65+Q$3),((RiskSlide!$A$10)/260),$C65,$B65,RiskSlide!$H94)</f>
        <v>61.225664203293917</v>
      </c>
      <c r="R65">
        <f>PnL(($D$7*(1+R$2)),$E65,(RiskSlide!$A$7),($G65+R$3),((RiskSlide!$A$10)/260),$C65,$B65,RiskSlide!$H94)</f>
        <v>61.225664203293917</v>
      </c>
      <c r="S65">
        <f>PnL(($D$7*(1+S$2)),$E65,(RiskSlide!$A$7),($G65+S$3),((RiskSlide!$A$10)/260),$C65,$B65,RiskSlide!$H94)</f>
        <v>61.225664203293917</v>
      </c>
      <c r="T65">
        <f>PnL(($D$7*(1+T$2)),$E65,(RiskSlide!$A$7),($G65+T$3),((RiskSlide!$A$10)/260),$C65,$B65,RiskSlide!$H94)</f>
        <v>56.5185940968951</v>
      </c>
      <c r="U65">
        <f>PnL(($D$7*(1+U$2)),$E65,(RiskSlide!$A$7),($G65+U$3),((RiskSlide!$A$10)/260),$C65,$B65,RiskSlide!$H94)</f>
        <v>61.06817008267727</v>
      </c>
      <c r="V65">
        <f>PnL(($D$7*(1+V$2)),$E65,(RiskSlide!$A$7),($G65+V$3),((RiskSlide!$A$10)/260),$C65,$B65,RiskSlide!$H94)</f>
        <v>61.225029274665957</v>
      </c>
      <c r="W65">
        <f>PnL(($D$7*(1+W$2)),$E65,(RiskSlide!$A$7),($G65+W$3),((RiskSlide!$A$10)/260),$C65,$B65,RiskSlide!$H94)</f>
        <v>61.225441294531478</v>
      </c>
      <c r="X65">
        <f>PnL(($D$7*(1+X$2)),$E65,(RiskSlide!$A$7),($G65+X$3),((RiskSlide!$A$10)/260),$C65,$B65,RiskSlide!$H94)</f>
        <v>61.225595062272198</v>
      </c>
      <c r="Y65">
        <f>PnL(($D$7*(1+Y$2)),$E65,(RiskSlide!$A$7),($G65+Y$3),((RiskSlide!$A$10)/260),$C65,$B65,RiskSlide!$H94)</f>
        <v>61.225645657256372</v>
      </c>
      <c r="Z65">
        <f>PnL(($D$7*(1+Z$2)),$E65,(RiskSlide!$A$7),($G65+Z$3),((RiskSlide!$A$10)/260),$C65,$B65,RiskSlide!$H94)</f>
        <v>61.225660013003221</v>
      </c>
      <c r="AA65">
        <f>PnL(($D$7*(1+AA$2)),$E65,(RiskSlide!$A$7),($G65+AA$3),((RiskSlide!$A$10)/260),$C65,$B65,RiskSlide!$H94)</f>
        <v>61.225664203293917</v>
      </c>
      <c r="AB65">
        <f>PnL(($D$7*(1+AB$2)),$E65,(RiskSlide!$A$7),($G65+AB$3),((RiskSlide!$A$10)/260),$C65,$B65,RiskSlide!$H94)</f>
        <v>61.225664203293917</v>
      </c>
      <c r="AC65">
        <f>PnL(($D$7*(1+AC$2)),$E65,(RiskSlide!$A$7),($G65+AC$3),((RiskSlide!$A$10)/260),$C65,$B65,RiskSlide!$H94)</f>
        <v>-247.54643855582188</v>
      </c>
      <c r="AD65">
        <f>PnL(($D$7*(1+AD$2)),$E65,(RiskSlide!$A$7),($G65+AD$3),((RiskSlide!$A$10)/260),$C65,$B65,RiskSlide!$H94)</f>
        <v>-35.343599036293227</v>
      </c>
      <c r="AE65">
        <f>PnL(($D$7*(1+AE$2)),$E65,(RiskSlide!$A$7),($G65+AE$3),((RiskSlide!$A$10)/260),$C65,$B65,RiskSlide!$H94)</f>
        <v>43.340380542016455</v>
      </c>
      <c r="AF65">
        <f>PnL(($D$7*(1+AF$2)),$E65,(RiskSlide!$A$7),($G65+AF$3),((RiskSlide!$A$10)/260),$C65,$B65,RiskSlide!$H94)</f>
        <v>48.016417808194589</v>
      </c>
      <c r="AG65">
        <f>PnL(($D$7*(1+AG$2)),$E65,(RiskSlide!$A$7),($G65+AG$3),((RiskSlide!$A$10)/260),$C65,$B65,RiskSlide!$H94)</f>
        <v>51.769450986156244</v>
      </c>
      <c r="AH65">
        <f>PnL(($D$7*(1+AH$2)),$E65,(RiskSlide!$A$7),($G65+AH$3),((RiskSlide!$A$10)/260),$C65,$B65,RiskSlide!$H94)</f>
        <v>54.697271124565283</v>
      </c>
      <c r="AI65">
        <f>PnL(($D$7*(1+AI$2)),$E65,(RiskSlide!$A$7),($G65+AI$3),((RiskSlide!$A$10)/260),$C65,$B65,RiskSlide!$H94)</f>
        <v>56.906028715614184</v>
      </c>
      <c r="AJ65">
        <f>PnL(($D$7*(1+AJ$2)),$E65,(RiskSlide!$A$7),($G65+AJ$3),((RiskSlide!$A$10)/260),$C65,$B65,RiskSlide!$H94)</f>
        <v>61.218237832056488</v>
      </c>
      <c r="AK65">
        <f>PnL(($D$7*(1+AK$2)),$E65,(RiskSlide!$A$7),($G65+AK$3),((RiskSlide!$A$10)/260),$C65,$B65,RiskSlide!$H94)</f>
        <v>61.225664203293917</v>
      </c>
      <c r="AL65">
        <f>PnL(($D$7*(1+AL$2)),$E65,(RiskSlide!$A$7),($G65+AL$3),((RiskSlide!$A$10)/260),$C65,$B65,RiskSlide!$H94)</f>
        <v>-393.26078018659769</v>
      </c>
      <c r="AM65">
        <f>PnL(($D$7*(1+AM$2)),$E65,(RiskSlide!$A$7),($G65+AM$3),((RiskSlide!$A$10)/260),$C65,$B65,RiskSlide!$H94)</f>
        <v>-108.85863354973893</v>
      </c>
      <c r="AN65">
        <f>PnL(($D$7*(1+AN$2)),$E65,(RiskSlide!$A$7),($G65+AN$3),((RiskSlide!$A$10)/260),$C65,$B65,RiskSlide!$H94)</f>
        <v>18.846653554729897</v>
      </c>
      <c r="AO65">
        <f>PnL(($D$7*(1+AO$2)),$E65,(RiskSlide!$A$7),($G65+AO$3),((RiskSlide!$A$10)/260),$C65,$B65,RiskSlide!$H94)</f>
        <v>28.099139679893881</v>
      </c>
      <c r="AP65">
        <f>PnL(($D$7*(1+AP$2)),$E65,(RiskSlide!$A$7),($G65+AP$3),((RiskSlide!$A$10)/260),$C65,$B65,RiskSlide!$H94)</f>
        <v>35.954554026945118</v>
      </c>
      <c r="AQ65">
        <f>PnL(($D$7*(1+AQ$2)),$E65,(RiskSlide!$A$7),($G65+AQ$3),((RiskSlide!$A$10)/260),$C65,$B65,RiskSlide!$H94)</f>
        <v>42.484111474582775</v>
      </c>
      <c r="AR65">
        <f>PnL(($D$7*(1+AR$2)),$E65,(RiskSlide!$A$7),($G65+AR$3),((RiskSlide!$A$10)/260),$C65,$B65,RiskSlide!$H94)</f>
        <v>47.777681095237057</v>
      </c>
      <c r="AS65">
        <f>PnL(($D$7*(1+AS$2)),$E65,(RiskSlide!$A$7),($G65+AS$3),((RiskSlide!$A$10)/260),$C65,$B65,RiskSlide!$H94)</f>
        <v>61.135665833599042</v>
      </c>
      <c r="AT65">
        <f>PnL(($D$7*(1+AT$2)),$E65,(RiskSlide!$A$7),($G65+AT$3),((RiskSlide!$A$10)/260),$C65,$B65,RiskSlide!$H94)</f>
        <v>61.225664203293917</v>
      </c>
      <c r="AU65">
        <f>PnL(($D$7*(1+AU$2)),$E65,(RiskSlide!$A$7),($G65+AU$3),((RiskSlide!$A$10)/260),$C65,$B65,RiskSlide!$H94)</f>
        <v>-590.02970356432127</v>
      </c>
      <c r="AV65">
        <f>PnL(($D$7*(1+AV$2)),$E65,(RiskSlide!$A$7),($G65+AV$3),((RiskSlide!$A$10)/260),$C65,$B65,RiskSlide!$H94)</f>
        <v>-224.73506564609735</v>
      </c>
      <c r="AW65">
        <f>PnL(($D$7*(1+AW$2)),$E65,(RiskSlide!$A$7),($G65+AW$3),((RiskSlide!$A$10)/260),$C65,$B65,RiskSlide!$H94)</f>
        <v>-31.229258454534659</v>
      </c>
      <c r="AX65">
        <f>PnL(($D$7*(1+AX$2)),$E65,(RiskSlide!$A$7),($G65+AX$3),((RiskSlide!$A$10)/260),$C65,$B65,RiskSlide!$H94)</f>
        <v>-14.710340906537311</v>
      </c>
      <c r="AY65">
        <f>PnL(($D$7*(1+AY$2)),$E65,(RiskSlide!$A$7),($G65+AY$3),((RiskSlide!$A$10)/260),$C65,$B65,RiskSlide!$H94)</f>
        <v>0</v>
      </c>
      <c r="AZ65">
        <f>PnL(($D$7*(1+AZ$2)),$E65,(RiskSlide!$A$7),($G65+AZ$3),((RiskSlide!$A$10)/260),$C65,$B65,RiskSlide!$H94)</f>
        <v>12.904605122163915</v>
      </c>
      <c r="BA65">
        <f>PnL(($D$7*(1+BA$2)),$E65,(RiskSlide!$A$7),($G65+BA$3),((RiskSlide!$A$10)/260),$C65,$B65,RiskSlide!$H94)</f>
        <v>24.026364168503278</v>
      </c>
      <c r="BB65">
        <f>PnL(($D$7*(1+BB$2)),$E65,(RiskSlide!$A$7),($G65+BB$3),((RiskSlide!$A$10)/260),$C65,$B65,RiskSlide!$H94)</f>
        <v>60.424883214117742</v>
      </c>
      <c r="BC65">
        <f>PnL(($D$7*(1+BC$2)),$E65,(RiskSlide!$A$7),($G65+BC$3),((RiskSlide!$A$10)/260),$C65,$B65,RiskSlide!$H94)</f>
        <v>61.225664203293917</v>
      </c>
      <c r="BD65">
        <f>PnL(($D$7*(1+BD$2)),$E65,(RiskSlide!$A$7),($G65+BD$3),((RiskSlide!$A$10)/260),$C65,$B65,RiskSlide!$H94)</f>
        <v>-848.3041922228075</v>
      </c>
      <c r="BE65">
        <f>PnL(($D$7*(1+BE$2)),$E65,(RiskSlide!$A$7),($G65+BE$3),((RiskSlide!$A$10)/260),$C65,$B65,RiskSlide!$H94)</f>
        <v>-398.66606931430863</v>
      </c>
      <c r="BF65">
        <f>PnL(($D$7*(1+BF$2)),$E65,(RiskSlide!$A$7),($G65+BF$3),((RiskSlide!$A$10)/260),$C65,$B65,RiskSlide!$H94)</f>
        <v>-125.1719814113109</v>
      </c>
      <c r="BG65">
        <f>PnL(($D$7*(1+BG$2)),$E65,(RiskSlide!$A$7),($G65+BG$3),((RiskSlide!$A$10)/260),$C65,$B65,RiskSlide!$H94)</f>
        <v>-98.523645009421301</v>
      </c>
      <c r="BH65">
        <f>PnL(($D$7*(1+BH$2)),$E65,(RiskSlide!$A$7),($G65+BH$3),((RiskSlide!$A$10)/260),$C65,$B65,RiskSlide!$H94)</f>
        <v>-73.83994275324639</v>
      </c>
      <c r="BI65">
        <f>PnL(($D$7*(1+BI$2)),$E65,(RiskSlide!$A$7),($G65+BI$3),((RiskSlide!$A$10)/260),$C65,$B65,RiskSlide!$H94)</f>
        <v>-51.201726392817193</v>
      </c>
      <c r="BJ65">
        <f>PnL(($D$7*(1+BJ$2)),$E65,(RiskSlide!$A$7),($G65+BJ$3),((RiskSlide!$A$10)/260),$C65,$B65,RiskSlide!$H94)</f>
        <v>-30.6811752898831</v>
      </c>
      <c r="BK65">
        <f>PnL(($D$7*(1+BK$2)),$E65,(RiskSlide!$A$7),($G65+BK$3),((RiskSlide!$A$10)/260),$C65,$B65,RiskSlide!$H94)</f>
        <v>55.931397687194817</v>
      </c>
      <c r="BL65">
        <f>PnL(($D$7*(1+BL$2)),$E65,(RiskSlide!$A$7),($G65+BL$3),((RiskSlide!$A$10)/260),$C65,$B65,RiskSlide!$H94)</f>
        <v>61.225664203293917</v>
      </c>
      <c r="BM65">
        <f>PnL(($D$7*(1+BM$2)),$E65,(RiskSlide!$A$7),($G65+BM$3),((RiskSlide!$A$10)/260),$C65,$B65,RiskSlide!$H94)</f>
        <v>-1178.1965896339593</v>
      </c>
      <c r="BN65">
        <f>PnL(($D$7*(1+BN$2)),$E65,(RiskSlide!$A$7),($G65+BN$3),((RiskSlide!$A$10)/260),$C65,$B65,RiskSlide!$H94)</f>
        <v>-647.7760334297194</v>
      </c>
      <c r="BO65">
        <f>PnL(($D$7*(1+BO$2)),$E65,(RiskSlide!$A$7),($G65+BO$3),((RiskSlide!$A$10)/260),$C65,$B65,RiskSlide!$H94)</f>
        <v>-287.44936243497318</v>
      </c>
      <c r="BP65">
        <f>PnL(($D$7*(1+BP$2)),$E65,(RiskSlide!$A$7),($G65+BP$3),((RiskSlide!$A$10)/260),$C65,$B65,RiskSlide!$H94)</f>
        <v>-248.55002966678583</v>
      </c>
      <c r="BQ65">
        <f>PnL(($D$7*(1+BQ$2)),$E65,(RiskSlide!$A$7),($G65+BQ$3),((RiskSlide!$A$10)/260),$C65,$B65,RiskSlide!$H94)</f>
        <v>-211.37980418044933</v>
      </c>
      <c r="BR65">
        <f>PnL(($D$7*(1+BR$2)),$E65,(RiskSlide!$A$7),($G65+BR$3),((RiskSlide!$A$10)/260),$C65,$B65,RiskSlide!$H94)</f>
        <v>-176.07051022638913</v>
      </c>
      <c r="BS65">
        <f>PnL(($D$7*(1+BS$2)),$E65,(RiskSlide!$A$7),($G65+BS$3),((RiskSlide!$A$10)/260),$C65,$B65,RiskSlide!$H94)</f>
        <v>-142.76149435212417</v>
      </c>
      <c r="BT65">
        <f>PnL(($D$7*(1+BT$2)),$E65,(RiskSlide!$A$7),($G65+BT$3),((RiskSlide!$A$10)/260),$C65,$B65,RiskSlide!$H94)</f>
        <v>34.850148690044236</v>
      </c>
      <c r="BU65">
        <f>PnL(($D$7*(1+BU$2)),$E65,(RiskSlide!$A$7),($G65+BU$3),((RiskSlide!$A$10)/260),$C65,$B65,RiskSlide!$H94)</f>
        <v>61.225664199065797</v>
      </c>
      <c r="BV65">
        <f>PnL(($D$7*(1+BV$2)),$E65,(RiskSlide!$A$7),($G65+BV$3),((RiskSlide!$A$10)/260),$C65,$B65,RiskSlide!$H94)</f>
        <v>-6992.7266926732</v>
      </c>
      <c r="BW65">
        <f>PnL(($D$7*(1+BW$2)),$E65,(RiskSlide!$A$7),($G65+BW$3),((RiskSlide!$A$10)/260),$C65,$B65,RiskSlide!$H94)</f>
        <v>-6542.8237738847156</v>
      </c>
      <c r="BX65">
        <f>PnL(($D$7*(1+BX$2)),$E65,(RiskSlide!$A$7),($G65+BX$3),((RiskSlide!$A$10)/260),$C65,$B65,RiskSlide!$H94)</f>
        <v>-6273.0843241818275</v>
      </c>
      <c r="BY65">
        <f>PnL(($D$7*(1+BY$2)),$E65,(RiskSlide!$A$7),($G65+BY$3),((RiskSlide!$A$10)/260),$C65,$B65,RiskSlide!$H94)</f>
        <v>-6247.1563162553884</v>
      </c>
      <c r="BZ65">
        <f>PnL(($D$7*(1+BZ$2)),$E65,(RiskSlide!$A$7),($G65+BZ$3),((RiskSlide!$A$10)/260),$C65,$B65,RiskSlide!$H94)</f>
        <v>-6223.237660285231</v>
      </c>
      <c r="CA65">
        <f>PnL(($D$7*(1+CA$2)),$E65,(RiskSlide!$A$7),($G65+CA$3),((RiskSlide!$A$10)/260),$C65,$B65,RiskSlide!$H94)</f>
        <v>-6201.40197691099</v>
      </c>
      <c r="CB65">
        <f>PnL(($D$7*(1+CB$2)),$E65,(RiskSlide!$A$7),($G65+CB$3),((RiskSlide!$A$10)/260),$C65,$B65,RiskSlide!$H94)</f>
        <v>-6181.7121839978035</v>
      </c>
      <c r="CC65">
        <f>PnL(($D$7*(1+CC$2)),$E65,(RiskSlide!$A$7),($G65+CC$3),((RiskSlide!$A$10)/260),$C65,$B65,RiskSlide!$H94)</f>
        <v>-6100.9305884762689</v>
      </c>
      <c r="CD65">
        <f>PnL(($D$7*(1+CD$2)),$E65,(RiskSlide!$A$7),($G65+CD$3),((RiskSlide!$A$10)/260),$C65,$B65,RiskSlide!$H94)</f>
        <v>-6096.5047070908277</v>
      </c>
      <c r="CE65">
        <f>PnL(($D$7*(1+CE$2)),$E65,(RiskSlide!$A$7),($G65+CE$3),((RiskSlide!$A$10)/260),$C65,$B65,RiskSlide!$H94)</f>
        <v>-19475.550295364959</v>
      </c>
      <c r="CF65">
        <f>PnL(($D$7*(1+CF$2)),$E65,(RiskSlide!$A$7),($G65+CF$3),((RiskSlide!$A$10)/260),$C65,$B65,RiskSlide!$H94)</f>
        <v>-19461.39435394909</v>
      </c>
      <c r="CG65">
        <f>PnL(($D$7*(1+CG$2)),$E65,(RiskSlide!$A$7),($G65+CG$3),((RiskSlide!$A$10)/260),$C65,$B65,RiskSlide!$H94)</f>
        <v>-19460.465807328907</v>
      </c>
      <c r="CH65">
        <f>PnL(($D$7*(1+CH$2)),$E65,(RiskSlide!$A$7),($G65+CH$3),((RiskSlide!$A$10)/260),$C65,$B65,RiskSlide!$H94)</f>
        <v>-19460.459514057537</v>
      </c>
      <c r="CI65">
        <f>PnL(($D$7*(1+CI$2)),$E65,(RiskSlide!$A$7),($G65+CI$3),((RiskSlide!$A$10)/260),$C65,$B65,RiskSlide!$H94)</f>
        <v>-19460.456595428408</v>
      </c>
      <c r="CJ65">
        <f>PnL(($D$7*(1+CJ$2)),$E65,(RiskSlide!$A$7),($G65+CJ$3),((RiskSlide!$A$10)/260),$C65,$B65,RiskSlide!$H94)</f>
        <v>-19460.45536882303</v>
      </c>
      <c r="CK65">
        <f>PnL(($D$7*(1+CK$2)),$E65,(RiskSlide!$A$7),($G65+CK$3),((RiskSlide!$A$10)/260),$C65,$B65,RiskSlide!$H94)</f>
        <v>-19460.454909738561</v>
      </c>
      <c r="CL65">
        <f>PnL(($D$7*(1+CL$2)),$E65,(RiskSlide!$A$7),($G65+CL$3),((RiskSlide!$A$10)/260),$C65,$B65,RiskSlide!$H94)</f>
        <v>-19460.454707090841</v>
      </c>
      <c r="CM65">
        <f>PnL(($D$7*(1+CM$2)),$E65,(RiskSlide!$A$7),($G65+CM$3),((RiskSlide!$A$10)/260),$C65,$B65,RiskSlide!$H94)</f>
        <v>-19460.454707090841</v>
      </c>
    </row>
    <row r="66" spans="1:91" x14ac:dyDescent="0.25">
      <c r="A66" t="s">
        <v>61</v>
      </c>
      <c r="B66">
        <v>33</v>
      </c>
      <c r="C66">
        <v>1</v>
      </c>
      <c r="E66">
        <v>1835</v>
      </c>
      <c r="F66">
        <v>3.5000000000000001E-3</v>
      </c>
      <c r="G66">
        <v>0.12187000000000001</v>
      </c>
      <c r="K66">
        <f>PnL(($D$7*(1+K$2)),$E66,(RiskSlide!$A$7),($G66+K$3),((RiskSlide!$A$10)/260),$C66,$B66,RiskSlide!$H95)</f>
        <v>-448.43334949764414</v>
      </c>
      <c r="L66">
        <f>PnL(($D$7*(1+L$2)),$E66,(RiskSlide!$A$7),($G66+L$3),((RiskSlide!$A$10)/260),$C66,$B66,RiskSlide!$H95)</f>
        <v>-448.44064276589791</v>
      </c>
      <c r="M66">
        <f>PnL(($D$7*(1+M$2)),$E66,(RiskSlide!$A$7),($G66+M$3),((RiskSlide!$A$10)/260),$C66,$B66,RiskSlide!$H95)</f>
        <v>-448.44064397173673</v>
      </c>
      <c r="N66">
        <f>PnL(($D$7*(1+N$2)),$E66,(RiskSlide!$A$7),($G66+N$3),((RiskSlide!$A$10)/260),$C66,$B66,RiskSlide!$H95)</f>
        <v>-448.44064397173719</v>
      </c>
      <c r="O66">
        <f>PnL(($D$7*(1+O$2)),$E66,(RiskSlide!$A$7),($G66+O$3),((RiskSlide!$A$10)/260),$C66,$B66,RiskSlide!$H95)</f>
        <v>-448.44064397173719</v>
      </c>
      <c r="P66">
        <f>PnL(($D$7*(1+P$2)),$E66,(RiskSlide!$A$7),($G66+P$3),((RiskSlide!$A$10)/260),$C66,$B66,RiskSlide!$H95)</f>
        <v>-448.44064397173719</v>
      </c>
      <c r="Q66">
        <f>PnL(($D$7*(1+Q$2)),$E66,(RiskSlide!$A$7),($G66+Q$3),((RiskSlide!$A$10)/260),$C66,$B66,RiskSlide!$H95)</f>
        <v>-448.44064397173719</v>
      </c>
      <c r="R66">
        <f>PnL(($D$7*(1+R$2)),$E66,(RiskSlide!$A$7),($G66+R$3),((RiskSlide!$A$10)/260),$C66,$B66,RiskSlide!$H95)</f>
        <v>-448.44064397173719</v>
      </c>
      <c r="S66">
        <f>PnL(($D$7*(1+S$2)),$E66,(RiskSlide!$A$7),($G66+S$3),((RiskSlide!$A$10)/260),$C66,$B66,RiskSlide!$H95)</f>
        <v>-448.44064397173719</v>
      </c>
      <c r="T66">
        <f>PnL(($D$7*(1+T$2)),$E66,(RiskSlide!$A$7),($G66+T$3),((RiskSlide!$A$10)/260),$C66,$B66,RiskSlide!$H95)</f>
        <v>-409.33634341406639</v>
      </c>
      <c r="U66">
        <f>PnL(($D$7*(1+U$2)),$E66,(RiskSlide!$A$7),($G66+U$3),((RiskSlide!$A$10)/260),$C66,$B66,RiskSlide!$H95)</f>
        <v>-447.30207294018976</v>
      </c>
      <c r="V66">
        <f>PnL(($D$7*(1+V$2)),$E66,(RiskSlide!$A$7),($G66+V$3),((RiskSlide!$A$10)/260),$C66,$B66,RiskSlide!$H95)</f>
        <v>-448.43693816932915</v>
      </c>
      <c r="W66">
        <f>PnL(($D$7*(1+W$2)),$E66,(RiskSlide!$A$7),($G66+W$3),((RiskSlide!$A$10)/260),$C66,$B66,RiskSlide!$H95)</f>
        <v>-448.43939191100651</v>
      </c>
      <c r="X66">
        <f>PnL(($D$7*(1+X$2)),$E66,(RiskSlide!$A$7),($G66+X$3),((RiskSlide!$A$10)/260),$C66,$B66,RiskSlide!$H95)</f>
        <v>-448.44027157547475</v>
      </c>
      <c r="Y66">
        <f>PnL(($D$7*(1+Y$2)),$E66,(RiskSlide!$A$7),($G66+Y$3),((RiskSlide!$A$10)/260),$C66,$B66,RiskSlide!$H95)</f>
        <v>-448.44054857318986</v>
      </c>
      <c r="Z66">
        <f>PnL(($D$7*(1+Z$2)),$E66,(RiskSlide!$A$7),($G66+Z$3),((RiskSlide!$A$10)/260),$C66,$B66,RiskSlide!$H95)</f>
        <v>-448.44062347867896</v>
      </c>
      <c r="AA66">
        <f>PnL(($D$7*(1+AA$2)),$E66,(RiskSlide!$A$7),($G66+AA$3),((RiskSlide!$A$10)/260),$C66,$B66,RiskSlide!$H95)</f>
        <v>-448.44064397173719</v>
      </c>
      <c r="AB66">
        <f>PnL(($D$7*(1+AB$2)),$E66,(RiskSlide!$A$7),($G66+AB$3),((RiskSlide!$A$10)/260),$C66,$B66,RiskSlide!$H95)</f>
        <v>-448.44064397173719</v>
      </c>
      <c r="AC66">
        <f>PnL(($D$7*(1+AC$2)),$E66,(RiskSlide!$A$7),($G66+AC$3),((RiskSlide!$A$10)/260),$C66,$B66,RiskSlide!$H95)</f>
        <v>2347.5839939455373</v>
      </c>
      <c r="AD66">
        <f>PnL(($D$7*(1+AD$2)),$E66,(RiskSlide!$A$7),($G66+AD$3),((RiskSlide!$A$10)/260),$C66,$B66,RiskSlide!$H95)</f>
        <v>352.54742110904829</v>
      </c>
      <c r="AE66">
        <f>PnL(($D$7*(1+AE$2)),$E66,(RiskSlide!$A$7),($G66+AE$3),((RiskSlide!$A$10)/260),$C66,$B66,RiskSlide!$H95)</f>
        <v>-319.42773405267735</v>
      </c>
      <c r="AF66">
        <f>PnL(($D$7*(1+AF$2)),$E66,(RiskSlide!$A$7),($G66+AF$3),((RiskSlide!$A$10)/260),$C66,$B66,RiskSlide!$H95)</f>
        <v>-355.60209946239968</v>
      </c>
      <c r="AG66">
        <f>PnL(($D$7*(1+AG$2)),$E66,(RiskSlide!$A$7),($G66+AG$3),((RiskSlide!$A$10)/260),$C66,$B66,RiskSlide!$H95)</f>
        <v>-383.86990506417311</v>
      </c>
      <c r="AH66">
        <f>PnL(($D$7*(1+AH$2)),$E66,(RiskSlide!$A$7),($G66+AH$3),((RiskSlide!$A$10)/260),$C66,$B66,RiskSlide!$H95)</f>
        <v>-405.27352797803735</v>
      </c>
      <c r="AI66">
        <f>PnL(($D$7*(1+AI$2)),$E66,(RiskSlide!$A$7),($G66+AI$3),((RiskSlide!$A$10)/260),$C66,$B66,RiskSlide!$H95)</f>
        <v>-420.88902330131123</v>
      </c>
      <c r="AJ66">
        <f>PnL(($D$7*(1+AJ$2)),$E66,(RiskSlide!$A$7),($G66+AJ$3),((RiskSlide!$A$10)/260),$C66,$B66,RiskSlide!$H95)</f>
        <v>-448.41327981435217</v>
      </c>
      <c r="AK66">
        <f>PnL(($D$7*(1+AK$2)),$E66,(RiskSlide!$A$7),($G66+AK$3),((RiskSlide!$A$10)/260),$C66,$B66,RiskSlide!$H95)</f>
        <v>-448.44064397173719</v>
      </c>
      <c r="AL66">
        <f>PnL(($D$7*(1+AL$2)),$E66,(RiskSlide!$A$7),($G66+AL$3),((RiskSlide!$A$10)/260),$C66,$B66,RiskSlide!$H95)</f>
        <v>3711.351924519457</v>
      </c>
      <c r="AM66">
        <f>PnL(($D$7*(1+AM$2)),$E66,(RiskSlide!$A$7),($G66+AM$3),((RiskSlide!$A$10)/260),$C66,$B66,RiskSlide!$H95)</f>
        <v>987.83781823941331</v>
      </c>
      <c r="AN66">
        <f>PnL(($D$7*(1+AN$2)),$E66,(RiskSlide!$A$7),($G66+AN$3),((RiskSlide!$A$10)/260),$C66,$B66,RiskSlide!$H95)</f>
        <v>-133.42033971438738</v>
      </c>
      <c r="AO66">
        <f>PnL(($D$7*(1+AO$2)),$E66,(RiskSlide!$A$7),($G66+AO$3),((RiskSlide!$A$10)/260),$C66,$B66,RiskSlide!$H95)</f>
        <v>-207.96878447409509</v>
      </c>
      <c r="AP66">
        <f>PnL(($D$7*(1+AP$2)),$E66,(RiskSlide!$A$7),($G66+AP$3),((RiskSlide!$A$10)/260),$C66,$B66,RiskSlide!$H95)</f>
        <v>-269.76075929430704</v>
      </c>
      <c r="AQ66">
        <f>PnL(($D$7*(1+AQ$2)),$E66,(RiskSlide!$A$7),($G66+AQ$3),((RiskSlide!$A$10)/260),$C66,$B66,RiskSlide!$H95)</f>
        <v>-319.76352020191177</v>
      </c>
      <c r="AR66">
        <f>PnL(($D$7*(1+AR$2)),$E66,(RiskSlide!$A$7),($G66+AR$3),((RiskSlide!$A$10)/260),$C66,$B66,RiskSlide!$H95)</f>
        <v>-359.09766538821503</v>
      </c>
      <c r="AS66">
        <f>PnL(($D$7*(1+AS$2)),$E66,(RiskSlide!$A$7),($G66+AS$3),((RiskSlide!$A$10)/260),$C66,$B66,RiskSlide!$H95)</f>
        <v>-448.08025269224765</v>
      </c>
      <c r="AT66">
        <f>PnL(($D$7*(1+AT$2)),$E66,(RiskSlide!$A$7),($G66+AT$3),((RiskSlide!$A$10)/260),$C66,$B66,RiskSlide!$H95)</f>
        <v>-448.44064397173719</v>
      </c>
      <c r="AU66">
        <f>PnL(($D$7*(1+AU$2)),$E66,(RiskSlide!$A$7),($G66+AU$3),((RiskSlide!$A$10)/260),$C66,$B66,RiskSlide!$H95)</f>
        <v>5575.6595184726639</v>
      </c>
      <c r="AV66">
        <f>PnL(($D$7*(1+AV$2)),$E66,(RiskSlide!$A$7),($G66+AV$3),((RiskSlide!$A$10)/260),$C66,$B66,RiskSlide!$H95)</f>
        <v>2009.7939205074997</v>
      </c>
      <c r="AW66">
        <f>PnL(($D$7*(1+AW$2)),$E66,(RiskSlide!$A$7),($G66+AW$3),((RiskSlide!$A$10)/260),$C66,$B66,RiskSlide!$H95)</f>
        <v>259.92827167201364</v>
      </c>
      <c r="AX66">
        <f>PnL(($D$7*(1+AX$2)),$E66,(RiskSlide!$A$7),($G66+AX$3),((RiskSlide!$A$10)/260),$C66,$B66,RiskSlide!$H95)</f>
        <v>121.07804570503653</v>
      </c>
      <c r="AY66">
        <f>PnL(($D$7*(1+AY$2)),$E66,(RiskSlide!$A$7),($G66+AY$3),((RiskSlide!$A$10)/260),$C66,$B66,RiskSlide!$H95)</f>
        <v>0</v>
      </c>
      <c r="AZ66">
        <f>PnL(($D$7*(1+AZ$2)),$E66,(RiskSlide!$A$7),($G66+AZ$3),((RiskSlide!$A$10)/260),$C66,$B66,RiskSlide!$H95)</f>
        <v>-103.74463008757751</v>
      </c>
      <c r="BA66">
        <f>PnL(($D$7*(1+BA$2)),$E66,(RiskSlide!$A$7),($G66+BA$3),((RiskSlide!$A$10)/260),$C66,$B66,RiskSlide!$H95)</f>
        <v>-190.81908099190787</v>
      </c>
      <c r="BB66">
        <f>PnL(($D$7*(1+BB$2)),$E66,(RiskSlide!$A$7),($G66+BB$3),((RiskSlide!$A$10)/260),$C66,$B66,RiskSlide!$H95)</f>
        <v>-444.93175037809436</v>
      </c>
      <c r="BC66">
        <f>PnL(($D$7*(1+BC$2)),$E66,(RiskSlide!$A$7),($G66+BC$3),((RiskSlide!$A$10)/260),$C66,$B66,RiskSlide!$H95)</f>
        <v>-448.44064397173719</v>
      </c>
      <c r="BD66">
        <f>PnL(($D$7*(1+BD$2)),$E66,(RiskSlide!$A$7),($G66+BD$3),((RiskSlide!$A$10)/260),$C66,$B66,RiskSlide!$H95)</f>
        <v>8052.6158408991723</v>
      </c>
      <c r="BE66">
        <f>PnL(($D$7*(1+BE$2)),$E66,(RiskSlide!$A$7),($G66+BE$3),((RiskSlide!$A$10)/260),$C66,$B66,RiskSlide!$H95)</f>
        <v>3575.2645612662368</v>
      </c>
      <c r="BF66">
        <f>PnL(($D$7*(1+BF$2)),$E66,(RiskSlide!$A$7),($G66+BF$3),((RiskSlide!$A$10)/260),$C66,$B66,RiskSlide!$H95)</f>
        <v>1023.519448215379</v>
      </c>
      <c r="BG66">
        <f>PnL(($D$7*(1+BG$2)),$E66,(RiskSlide!$A$7),($G66+BG$3),((RiskSlide!$A$10)/260),$C66,$B66,RiskSlide!$H95)</f>
        <v>789.45519910130281</v>
      </c>
      <c r="BH66">
        <f>PnL(($D$7*(1+BH$2)),$E66,(RiskSlide!$A$7),($G66+BH$3),((RiskSlide!$A$10)/260),$C66,$B66,RiskSlide!$H95)</f>
        <v>576.47227587894361</v>
      </c>
      <c r="BI66">
        <f>PnL(($D$7*(1+BI$2)),$E66,(RiskSlide!$A$7),($G66+BI$3),((RiskSlide!$A$10)/260),$C66,$B66,RiskSlide!$H95)</f>
        <v>385.00223553653507</v>
      </c>
      <c r="BJ66">
        <f>PnL(($D$7*(1+BJ$2)),$E66,(RiskSlide!$A$7),($G66+BJ$3),((RiskSlide!$A$10)/260),$C66,$B66,RiskSlide!$H95)</f>
        <v>215.3081879008372</v>
      </c>
      <c r="BK66">
        <f>PnL(($D$7*(1+BK$2)),$E66,(RiskSlide!$A$7),($G66+BK$3),((RiskSlide!$A$10)/260),$C66,$B66,RiskSlide!$H95)</f>
        <v>-422.9131188931965</v>
      </c>
      <c r="BL66">
        <f>PnL(($D$7*(1+BL$2)),$E66,(RiskSlide!$A$7),($G66+BL$3),((RiskSlide!$A$10)/260),$C66,$B66,RiskSlide!$H95)</f>
        <v>-448.44064397173719</v>
      </c>
      <c r="BM66">
        <f>PnL(($D$7*(1+BM$2)),$E66,(RiskSlide!$A$7),($G66+BM$3),((RiskSlide!$A$10)/260),$C66,$B66,RiskSlide!$H95)</f>
        <v>11254.563636068417</v>
      </c>
      <c r="BN66">
        <f>PnL(($D$7*(1+BN$2)),$E66,(RiskSlide!$A$7),($G66+BN$3),((RiskSlide!$A$10)/260),$C66,$B66,RiskSlide!$H95)</f>
        <v>5863.102093192434</v>
      </c>
      <c r="BO66">
        <f>PnL(($D$7*(1+BO$2)),$E66,(RiskSlide!$A$7),($G66+BO$3),((RiskSlide!$A$10)/260),$C66,$B66,RiskSlide!$H95)</f>
        <v>2388.6086067036463</v>
      </c>
      <c r="BP66">
        <f>PnL(($D$7*(1+BP$2)),$E66,(RiskSlide!$A$7),($G66+BP$3),((RiskSlide!$A$10)/260),$C66,$B66,RiskSlide!$H95)</f>
        <v>2030.9986912355132</v>
      </c>
      <c r="BQ66">
        <f>PnL(($D$7*(1+BQ$2)),$E66,(RiskSlide!$A$7),($G66+BQ$3),((RiskSlide!$A$10)/260),$C66,$B66,RiskSlide!$H95)</f>
        <v>1694.1621862880727</v>
      </c>
      <c r="BR66">
        <f>PnL(($D$7*(1+BR$2)),$E66,(RiskSlide!$A$7),($G66+BR$3),((RiskSlide!$A$10)/260),$C66,$B66,RiskSlide!$H95)</f>
        <v>1379.3179143528125</v>
      </c>
      <c r="BS66">
        <f>PnL(($D$7*(1+BS$2)),$E66,(RiskSlide!$A$7),($G66+BS$3),((RiskSlide!$A$10)/260),$C66,$B66,RiskSlide!$H95)</f>
        <v>1087.679529363965</v>
      </c>
      <c r="BT66">
        <f>PnL(($D$7*(1+BT$2)),$E66,(RiskSlide!$A$7),($G66+BT$3),((RiskSlide!$A$10)/260),$C66,$B66,RiskSlide!$H95)</f>
        <v>-307.94892947924916</v>
      </c>
      <c r="BU66">
        <f>PnL(($D$7*(1+BU$2)),$E66,(RiskSlide!$A$7),($G66+BU$3),((RiskSlide!$A$10)/260),$C66,$B66,RiskSlide!$H95)</f>
        <v>-448.4406439712443</v>
      </c>
      <c r="BV66">
        <f>PnL(($D$7*(1+BV$2)),$E66,(RiskSlide!$A$7),($G66+BV$3),((RiskSlide!$A$10)/260),$C66,$B66,RiskSlide!$H95)</f>
        <v>70914.646620297513</v>
      </c>
      <c r="BW66">
        <f>PnL(($D$7*(1+BW$2)),$E66,(RiskSlide!$A$7),($G66+BW$3),((RiskSlide!$A$10)/260),$C66,$B66,RiskSlide!$H95)</f>
        <v>65430.950856494572</v>
      </c>
      <c r="BX66">
        <f>PnL(($D$7*(1+BX$2)),$E66,(RiskSlide!$A$7),($G66+BX$3),((RiskSlide!$A$10)/260),$C66,$B66,RiskSlide!$H95)</f>
        <v>61902.856879487234</v>
      </c>
      <c r="BY66">
        <f>PnL(($D$7*(1+BY$2)),$E66,(RiskSlide!$A$7),($G66+BY$3),((RiskSlide!$A$10)/260),$C66,$B66,RiskSlide!$H95)</f>
        <v>61540.284201196861</v>
      </c>
      <c r="BZ66">
        <f>PnL(($D$7*(1+BZ$2)),$E66,(RiskSlide!$A$7),($G66+BZ$3),((RiskSlide!$A$10)/260),$C66,$B66,RiskSlide!$H95)</f>
        <v>61198.931035918707</v>
      </c>
      <c r="CA66">
        <f>PnL(($D$7*(1+CA$2)),$E66,(RiskSlide!$A$7),($G66+CA$3),((RiskSlide!$A$10)/260),$C66,$B66,RiskSlide!$H95)</f>
        <v>60880.031329153913</v>
      </c>
      <c r="CB66">
        <f>PnL(($D$7*(1+CB$2)),$E66,(RiskSlide!$A$7),($G66+CB$3),((RiskSlide!$A$10)/260),$C66,$B66,RiskSlide!$H95)</f>
        <v>60584.811006511867</v>
      </c>
      <c r="CC66">
        <f>PnL(($D$7*(1+CC$2)),$E66,(RiskSlide!$A$7),($G66+CC$3),((RiskSlide!$A$10)/260),$C66,$B66,RiskSlide!$H95)</f>
        <v>59176.928573021454</v>
      </c>
      <c r="CD66">
        <f>PnL(($D$7*(1+CD$2)),$E66,(RiskSlide!$A$7),($G66+CD$3),((RiskSlide!$A$10)/260),$C66,$B66,RiskSlide!$H95)</f>
        <v>59037.037659073532</v>
      </c>
      <c r="CE66">
        <f>PnL(($D$7*(1+CE$2)),$E66,(RiskSlide!$A$7),($G66+CE$3),((RiskSlide!$A$10)/260),$C66,$B66,RiskSlide!$H95)</f>
        <v>206276.52712187605</v>
      </c>
      <c r="CF66">
        <f>PnL(($D$7*(1+CF$2)),$E66,(RiskSlide!$A$7),($G66+CF$3),((RiskSlide!$A$10)/260),$C66,$B66,RiskSlide!$H95)</f>
        <v>206058.64385097189</v>
      </c>
      <c r="CG66">
        <f>PnL(($D$7*(1+CG$2)),$E66,(RiskSlide!$A$7),($G66+CG$3),((RiskSlide!$A$10)/260),$C66,$B66,RiskSlide!$H95)</f>
        <v>206040.80242571922</v>
      </c>
      <c r="CH66">
        <f>PnL(($D$7*(1+CH$2)),$E66,(RiskSlide!$A$7),($G66+CH$3),((RiskSlide!$A$10)/260),$C66,$B66,RiskSlide!$H95)</f>
        <v>206040.63489136519</v>
      </c>
      <c r="CI66">
        <f>PnL(($D$7*(1+CI$2)),$E66,(RiskSlide!$A$7),($G66+CI$3),((RiskSlide!$A$10)/260),$C66,$B66,RiskSlide!$H95)</f>
        <v>206040.55078967693</v>
      </c>
      <c r="CJ66">
        <f>PnL(($D$7*(1+CJ$2)),$E66,(RiskSlide!$A$7),($G66+CJ$3),((RiskSlide!$A$10)/260),$C66,$B66,RiskSlide!$H95)</f>
        <v>206040.5121097884</v>
      </c>
      <c r="CK66">
        <f>PnL(($D$7*(1+CK$2)),$E66,(RiskSlide!$A$7),($G66+CK$3),((RiskSlide!$A$10)/260),$C66,$B66,RiskSlide!$H95)</f>
        <v>206040.49605956025</v>
      </c>
      <c r="CL66">
        <f>PnL(($D$7*(1+CL$2)),$E66,(RiskSlide!$A$7),($G66+CL$3),((RiskSlide!$A$10)/260),$C66,$B66,RiskSlide!$H95)</f>
        <v>206040.48765907288</v>
      </c>
      <c r="CM66">
        <f>PnL(($D$7*(1+CM$2)),$E66,(RiskSlide!$A$7),($G66+CM$3),((RiskSlide!$A$10)/260),$C66,$B66,RiskSlide!$H95)</f>
        <v>206040.48765907288</v>
      </c>
    </row>
    <row r="67" spans="1:91" x14ac:dyDescent="0.25">
      <c r="A67" t="s">
        <v>62</v>
      </c>
      <c r="B67">
        <v>-23</v>
      </c>
      <c r="C67">
        <v>1</v>
      </c>
      <c r="E67">
        <v>1840</v>
      </c>
      <c r="F67">
        <v>3.5000000000000001E-3</v>
      </c>
      <c r="G67">
        <v>0.123789</v>
      </c>
      <c r="K67">
        <f>PnL(($D$7*(1+K$2)),$E67,(RiskSlide!$A$7),($G67+K$3),((RiskSlide!$A$10)/260),$C67,$B67,RiskSlide!$H96)</f>
        <v>213.95566293046178</v>
      </c>
      <c r="L67">
        <f>PnL(($D$7*(1+L$2)),$E67,(RiskSlide!$A$7),($G67+L$3),((RiskSlide!$A$10)/260),$C67,$B67,RiskSlide!$H96)</f>
        <v>213.95947975219167</v>
      </c>
      <c r="M67">
        <f>PnL(($D$7*(1+M$2)),$E67,(RiskSlide!$A$7),($G67+M$3),((RiskSlide!$A$10)/260),$C67,$B67,RiskSlide!$H96)</f>
        <v>213.95948033704229</v>
      </c>
      <c r="N67">
        <f>PnL(($D$7*(1+N$2)),$E67,(RiskSlide!$A$7),($G67+N$3),((RiskSlide!$A$10)/260),$C67,$B67,RiskSlide!$H96)</f>
        <v>213.95948033704252</v>
      </c>
      <c r="O67">
        <f>PnL(($D$7*(1+O$2)),$E67,(RiskSlide!$A$7),($G67+O$3),((RiskSlide!$A$10)/260),$C67,$B67,RiskSlide!$H96)</f>
        <v>213.95948033704252</v>
      </c>
      <c r="P67">
        <f>PnL(($D$7*(1+P$2)),$E67,(RiskSlide!$A$7),($G67+P$3),((RiskSlide!$A$10)/260),$C67,$B67,RiskSlide!$H96)</f>
        <v>213.95948033704252</v>
      </c>
      <c r="Q67">
        <f>PnL(($D$7*(1+Q$2)),$E67,(RiskSlide!$A$7),($G67+Q$3),((RiskSlide!$A$10)/260),$C67,$B67,RiskSlide!$H96)</f>
        <v>213.95948033704252</v>
      </c>
      <c r="R67">
        <f>PnL(($D$7*(1+R$2)),$E67,(RiskSlide!$A$7),($G67+R$3),((RiskSlide!$A$10)/260),$C67,$B67,RiskSlide!$H96)</f>
        <v>213.95948033704252</v>
      </c>
      <c r="S67">
        <f>PnL(($D$7*(1+S$2)),$E67,(RiskSlide!$A$7),($G67+S$3),((RiskSlide!$A$10)/260),$C67,$B67,RiskSlide!$H96)</f>
        <v>213.95948033704252</v>
      </c>
      <c r="T67">
        <f>PnL(($D$7*(1+T$2)),$E67,(RiskSlide!$A$7),($G67+T$3),((RiskSlide!$A$10)/260),$C67,$B67,RiskSlide!$H96)</f>
        <v>192.63573931449562</v>
      </c>
      <c r="U67">
        <f>PnL(($D$7*(1+U$2)),$E67,(RiskSlide!$A$7),($G67+U$3),((RiskSlide!$A$10)/260),$C67,$B67,RiskSlide!$H96)</f>
        <v>213.39937419611624</v>
      </c>
      <c r="V67">
        <f>PnL(($D$7*(1+V$2)),$E67,(RiskSlide!$A$7),($G67+V$3),((RiskSlide!$A$10)/260),$C67,$B67,RiskSlide!$H96)</f>
        <v>213.95788562508332</v>
      </c>
      <c r="W67">
        <f>PnL(($D$7*(1+W$2)),$E67,(RiskSlide!$A$7),($G67+W$3),((RiskSlide!$A$10)/260),$C67,$B67,RiskSlide!$H96)</f>
        <v>213.95895249099735</v>
      </c>
      <c r="X67">
        <f>PnL(($D$7*(1+X$2)),$E67,(RiskSlide!$A$7),($G67+X$3),((RiskSlide!$A$10)/260),$C67,$B67,RiskSlide!$H96)</f>
        <v>213.95932662847076</v>
      </c>
      <c r="Y67">
        <f>PnL(($D$7*(1+Y$2)),$E67,(RiskSlide!$A$7),($G67+Y$3),((RiskSlide!$A$10)/260),$C67,$B67,RiskSlide!$H96)</f>
        <v>213.95944180000697</v>
      </c>
      <c r="Z67">
        <f>PnL(($D$7*(1+Z$2)),$E67,(RiskSlide!$A$7),($G67+Z$3),((RiskSlide!$A$10)/260),$C67,$B67,RiskSlide!$H96)</f>
        <v>213.95947223520946</v>
      </c>
      <c r="AA67">
        <f>PnL(($D$7*(1+AA$2)),$E67,(RiskSlide!$A$7),($G67+AA$3),((RiskSlide!$A$10)/260),$C67,$B67,RiskSlide!$H96)</f>
        <v>213.95948033704252</v>
      </c>
      <c r="AB67">
        <f>PnL(($D$7*(1+AB$2)),$E67,(RiskSlide!$A$7),($G67+AB$3),((RiskSlide!$A$10)/260),$C67,$B67,RiskSlide!$H96)</f>
        <v>213.95948033704252</v>
      </c>
      <c r="AC67">
        <f>PnL(($D$7*(1+AC$2)),$E67,(RiskSlide!$A$7),($G67+AC$3),((RiskSlide!$A$10)/260),$C67,$B67,RiskSlide!$H96)</f>
        <v>-1407.603378531466</v>
      </c>
      <c r="AD67">
        <f>PnL(($D$7*(1+AD$2)),$E67,(RiskSlide!$A$7),($G67+AD$3),((RiskSlide!$A$10)/260),$C67,$B67,RiskSlide!$H96)</f>
        <v>-215.41439069668797</v>
      </c>
      <c r="AE67">
        <f>PnL(($D$7*(1+AE$2)),$E67,(RiskSlide!$A$7),($G67+AE$3),((RiskSlide!$A$10)/260),$C67,$B67,RiskSlide!$H96)</f>
        <v>152.60443428415965</v>
      </c>
      <c r="AF67">
        <f>PnL(($D$7*(1+AF$2)),$E67,(RiskSlide!$A$7),($G67+AF$3),((RiskSlide!$A$10)/260),$C67,$B67,RiskSlide!$H96)</f>
        <v>170.7490504793966</v>
      </c>
      <c r="AG67">
        <f>PnL(($D$7*(1+AG$2)),$E67,(RiskSlide!$A$7),($G67+AG$3),((RiskSlide!$A$10)/260),$C67,$B67,RiskSlide!$H96)</f>
        <v>184.60846755866464</v>
      </c>
      <c r="AH67">
        <f>PnL(($D$7*(1+AH$2)),$E67,(RiskSlide!$A$7),($G67+AH$3),((RiskSlide!$A$10)/260),$C67,$B67,RiskSlide!$H96)</f>
        <v>194.84202819430573</v>
      </c>
      <c r="AI67">
        <f>PnL(($D$7*(1+AI$2)),$E67,(RiskSlide!$A$7),($G67+AI$3),((RiskSlide!$A$10)/260),$C67,$B67,RiskSlide!$H96)</f>
        <v>202.10353763924584</v>
      </c>
      <c r="AJ67">
        <f>PnL(($D$7*(1+AJ$2)),$E67,(RiskSlide!$A$7),($G67+AJ$3),((RiskSlide!$A$10)/260),$C67,$B67,RiskSlide!$H96)</f>
        <v>213.95146312694629</v>
      </c>
      <c r="AK67">
        <f>PnL(($D$7*(1+AK$2)),$E67,(RiskSlide!$A$7),($G67+AK$3),((RiskSlide!$A$10)/260),$C67,$B67,RiskSlide!$H96)</f>
        <v>213.95948033704252</v>
      </c>
      <c r="AL67">
        <f>PnL(($D$7*(1+AL$2)),$E67,(RiskSlide!$A$7),($G67+AL$3),((RiskSlide!$A$10)/260),$C67,$B67,RiskSlide!$H96)</f>
        <v>-2219.444874760396</v>
      </c>
      <c r="AM67">
        <f>PnL(($D$7*(1+AM$2)),$E67,(RiskSlide!$A$7),($G67+AM$3),((RiskSlide!$A$10)/260),$C67,$B67,RiskSlide!$H96)</f>
        <v>-566.57056295254802</v>
      </c>
      <c r="AN67">
        <f>PnL(($D$7*(1+AN$2)),$E67,(RiskSlide!$A$7),($G67+AN$3),((RiskSlide!$A$10)/260),$C67,$B67,RiskSlide!$H96)</f>
        <v>60.978246348856935</v>
      </c>
      <c r="AO67">
        <f>PnL(($D$7*(1+AO$2)),$E67,(RiskSlide!$A$7),($G67+AO$3),((RiskSlide!$A$10)/260),$C67,$B67,RiskSlide!$H96)</f>
        <v>99.534292680307956</v>
      </c>
      <c r="AP67">
        <f>PnL(($D$7*(1+AP$2)),$E67,(RiskSlide!$A$7),($G67+AP$3),((RiskSlide!$A$10)/260),$C67,$B67,RiskSlide!$H96)</f>
        <v>130.82103322363741</v>
      </c>
      <c r="AQ67">
        <f>PnL(($D$7*(1+AQ$2)),$E67,(RiskSlide!$A$7),($G67+AQ$3),((RiskSlide!$A$10)/260),$C67,$B67,RiskSlide!$H96)</f>
        <v>155.55002995971324</v>
      </c>
      <c r="AR67">
        <f>PnL(($D$7*(1+AR$2)),$E67,(RiskSlide!$A$7),($G67+AR$3),((RiskSlide!$A$10)/260),$C67,$B67,RiskSlide!$H96)</f>
        <v>174.50118414100615</v>
      </c>
      <c r="AS67">
        <f>PnL(($D$7*(1+AS$2)),$E67,(RiskSlide!$A$7),($G67+AS$3),((RiskSlide!$A$10)/260),$C67,$B67,RiskSlide!$H96)</f>
        <v>213.85073889809968</v>
      </c>
      <c r="AT67">
        <f>PnL(($D$7*(1+AT$2)),$E67,(RiskSlide!$A$7),($G67+AT$3),((RiskSlide!$A$10)/260),$C67,$B67,RiskSlide!$H96)</f>
        <v>213.95948033704252</v>
      </c>
      <c r="AU67">
        <f>PnL(($D$7*(1+AU$2)),$E67,(RiskSlide!$A$7),($G67+AU$3),((RiskSlide!$A$10)/260),$C67,$B67,RiskSlide!$H96)</f>
        <v>-3340.8557861564009</v>
      </c>
      <c r="AV67">
        <f>PnL(($D$7*(1+AV$2)),$E67,(RiskSlide!$A$7),($G67+AV$3),((RiskSlide!$A$10)/260),$C67,$B67,RiskSlide!$H96)</f>
        <v>-1140.8299192306276</v>
      </c>
      <c r="AW67">
        <f>PnL(($D$7*(1+AW$2)),$E67,(RiskSlide!$A$7),($G67+AW$3),((RiskSlide!$A$10)/260),$C67,$B67,RiskSlide!$H96)</f>
        <v>-137.75141783362272</v>
      </c>
      <c r="AX67">
        <f>PnL(($D$7*(1+AX$2)),$E67,(RiskSlide!$A$7),($G67+AX$3),((RiskSlide!$A$10)/260),$C67,$B67,RiskSlide!$H96)</f>
        <v>-63.503523822269514</v>
      </c>
      <c r="AY67">
        <f>PnL(($D$7*(1+AY$2)),$E67,(RiskSlide!$A$7),($G67+AY$3),((RiskSlide!$A$10)/260),$C67,$B67,RiskSlide!$H96)</f>
        <v>0</v>
      </c>
      <c r="AZ67">
        <f>PnL(($D$7*(1+AZ$2)),$E67,(RiskSlide!$A$7),($G67+AZ$3),((RiskSlide!$A$10)/260),$C67,$B67,RiskSlide!$H96)</f>
        <v>53.254831654516543</v>
      </c>
      <c r="BA67">
        <f>PnL(($D$7*(1+BA$2)),$E67,(RiskSlide!$A$7),($G67+BA$3),((RiskSlide!$A$10)/260),$C67,$B67,RiskSlide!$H96)</f>
        <v>96.893482605164749</v>
      </c>
      <c r="BB67">
        <f>PnL(($D$7*(1+BB$2)),$E67,(RiskSlide!$A$7),($G67+BB$3),((RiskSlide!$A$10)/260),$C67,$B67,RiskSlide!$H96)</f>
        <v>212.85490856569831</v>
      </c>
      <c r="BC67">
        <f>PnL(($D$7*(1+BC$2)),$E67,(RiskSlide!$A$7),($G67+BC$3),((RiskSlide!$A$10)/260),$C67,$B67,RiskSlide!$H96)</f>
        <v>213.95948033704252</v>
      </c>
      <c r="BD67">
        <f>PnL(($D$7*(1+BD$2)),$E67,(RiskSlide!$A$7),($G67+BD$3),((RiskSlide!$A$10)/260),$C67,$B67,RiskSlide!$H96)</f>
        <v>-4846.5301998575214</v>
      </c>
      <c r="BE67">
        <f>PnL(($D$7*(1+BE$2)),$E67,(RiskSlide!$A$7),($G67+BE$3),((RiskSlide!$A$10)/260),$C67,$B67,RiskSlide!$H96)</f>
        <v>-2035.5096251794823</v>
      </c>
      <c r="BF67">
        <f>PnL(($D$7*(1+BF$2)),$E67,(RiskSlide!$A$7),($G67+BF$3),((RiskSlide!$A$10)/260),$C67,$B67,RiskSlide!$H96)</f>
        <v>-534.00670514087847</v>
      </c>
      <c r="BG67">
        <f>PnL(($D$7*(1+BG$2)),$E67,(RiskSlide!$A$7),($G67+BG$3),((RiskSlide!$A$10)/260),$C67,$B67,RiskSlide!$H96)</f>
        <v>-404.25435138905817</v>
      </c>
      <c r="BH67">
        <f>PnL(($D$7*(1+BH$2)),$E67,(RiskSlide!$A$7),($G67+BH$3),((RiskSlide!$A$10)/260),$C67,$B67,RiskSlide!$H96)</f>
        <v>-288.19222677690954</v>
      </c>
      <c r="BI67">
        <f>PnL(($D$7*(1+BI$2)),$E67,(RiskSlide!$A$7),($G67+BI$3),((RiskSlide!$A$10)/260),$C67,$B67,RiskSlide!$H96)</f>
        <v>-185.82498975709427</v>
      </c>
      <c r="BJ67">
        <f>PnL(($D$7*(1+BJ$2)),$E67,(RiskSlide!$A$7),($G67+BJ$3),((RiskSlide!$A$10)/260),$C67,$B67,RiskSlide!$H96)</f>
        <v>-97.015961993653832</v>
      </c>
      <c r="BK67">
        <f>PnL(($D$7*(1+BK$2)),$E67,(RiskSlide!$A$7),($G67+BK$3),((RiskSlide!$A$10)/260),$C67,$B67,RiskSlide!$H96)</f>
        <v>205.47674166641491</v>
      </c>
      <c r="BL67">
        <f>PnL(($D$7*(1+BL$2)),$E67,(RiskSlide!$A$7),($G67+BL$3),((RiskSlide!$A$10)/260),$C67,$B67,RiskSlide!$H96)</f>
        <v>213.95948033704252</v>
      </c>
      <c r="BM67">
        <f>PnL(($D$7*(1+BM$2)),$E67,(RiskSlide!$A$7),($G67+BM$3),((RiskSlide!$A$10)/260),$C67,$B67,RiskSlide!$H96)</f>
        <v>-6813.5861553553059</v>
      </c>
      <c r="BN67">
        <f>PnL(($D$7*(1+BN$2)),$E67,(RiskSlide!$A$7),($G67+BN$3),((RiskSlide!$A$10)/260),$C67,$B67,RiskSlide!$H96)</f>
        <v>-3365.7755119226113</v>
      </c>
      <c r="BO67">
        <f>PnL(($D$7*(1+BO$2)),$E67,(RiskSlide!$A$7),($G67+BO$3),((RiskSlide!$A$10)/260),$C67,$B67,RiskSlide!$H96)</f>
        <v>-1262.4932393114168</v>
      </c>
      <c r="BP67">
        <f>PnL(($D$7*(1+BP$2)),$E67,(RiskSlide!$A$7),($G67+BP$3),((RiskSlide!$A$10)/260),$C67,$B67,RiskSlide!$H96)</f>
        <v>-1056.4428428561416</v>
      </c>
      <c r="BQ67">
        <f>PnL(($D$7*(1+BQ$2)),$E67,(RiskSlide!$A$7),($G67+BQ$3),((RiskSlide!$A$10)/260),$C67,$B67,RiskSlide!$H96)</f>
        <v>-865.16382808656863</v>
      </c>
      <c r="BR67">
        <f>PnL(($D$7*(1+BR$2)),$E67,(RiskSlide!$A$7),($G67+BR$3),((RiskSlide!$A$10)/260),$C67,$B67,RiskSlide!$H96)</f>
        <v>-689.25561646317806</v>
      </c>
      <c r="BS67">
        <f>PnL(($D$7*(1+BS$2)),$E67,(RiskSlide!$A$7),($G67+BS$3),((RiskSlide!$A$10)/260),$C67,$B67,RiskSlide!$H96)</f>
        <v>-529.25740875878193</v>
      </c>
      <c r="BT67">
        <f>PnL(($D$7*(1+BT$2)),$E67,(RiskSlide!$A$7),($G67+BT$3),((RiskSlide!$A$10)/260),$C67,$B67,RiskSlide!$H96)</f>
        <v>164.17343324638259</v>
      </c>
      <c r="BU67">
        <f>PnL(($D$7*(1+BU$2)),$E67,(RiskSlide!$A$7),($G67+BU$3),((RiskSlide!$A$10)/260),$C67,$B67,RiskSlide!$H96)</f>
        <v>213.95948033701529</v>
      </c>
      <c r="BV67">
        <f>PnL(($D$7*(1+BV$2)),$E67,(RiskSlide!$A$7),($G67+BV$3),((RiskSlide!$A$10)/260),$C67,$B67,RiskSlide!$H96)</f>
        <v>-45437.447225906224</v>
      </c>
      <c r="BW67">
        <f>PnL(($D$7*(1+BW$2)),$E67,(RiskSlide!$A$7),($G67+BW$3),((RiskSlide!$A$10)/260),$C67,$B67,RiskSlide!$H96)</f>
        <v>-41258.011898771438</v>
      </c>
      <c r="BX67">
        <f>PnL(($D$7*(1+BX$2)),$E67,(RiskSlide!$A$7),($G67+BX$3),((RiskSlide!$A$10)/260),$C67,$B67,RiskSlide!$H96)</f>
        <v>-38398.158119980311</v>
      </c>
      <c r="BY67">
        <f>PnL(($D$7*(1+BY$2)),$E67,(RiskSlide!$A$7),($G67+BY$3),((RiskSlide!$A$10)/260),$C67,$B67,RiskSlide!$H96)</f>
        <v>-38086.902031004669</v>
      </c>
      <c r="BZ67">
        <f>PnL(($D$7*(1+BZ$2)),$E67,(RiskSlide!$A$7),($G67+BZ$3),((RiskSlide!$A$10)/260),$C67,$B67,RiskSlide!$H96)</f>
        <v>-37788.644583411267</v>
      </c>
      <c r="CA67">
        <f>PnL(($D$7*(1+CA$2)),$E67,(RiskSlide!$A$7),($G67+CA$3),((RiskSlide!$A$10)/260),$C67,$B67,RiskSlide!$H96)</f>
        <v>-37504.377469269195</v>
      </c>
      <c r="CB67">
        <f>PnL(($D$7*(1+CB$2)),$E67,(RiskSlide!$A$7),($G67+CB$3),((RiskSlide!$A$10)/260),$C67,$B67,RiskSlide!$H96)</f>
        <v>-37235.153708348967</v>
      </c>
      <c r="CC67">
        <f>PnL(($D$7*(1+CC$2)),$E67,(RiskSlide!$A$7),($G67+CC$3),((RiskSlide!$A$10)/260),$C67,$B67,RiskSlide!$H96)</f>
        <v>-35755.243382744731</v>
      </c>
      <c r="CD67">
        <f>PnL(($D$7*(1+CD$2)),$E67,(RiskSlide!$A$7),($G67+CD$3),((RiskSlide!$A$10)/260),$C67,$B67,RiskSlide!$H96)</f>
        <v>-35495.925921090187</v>
      </c>
      <c r="CE67">
        <f>PnL(($D$7*(1+CE$2)),$E67,(RiskSlide!$A$7),($G67+CE$3),((RiskSlide!$A$10)/260),$C67,$B67,RiskSlide!$H96)</f>
        <v>-138188.93993029013</v>
      </c>
      <c r="CF67">
        <f>PnL(($D$7*(1+CF$2)),$E67,(RiskSlide!$A$7),($G67+CF$3),((RiskSlide!$A$10)/260),$C67,$B67,RiskSlide!$H96)</f>
        <v>-137975.50347957746</v>
      </c>
      <c r="CG67">
        <f>PnL(($D$7*(1+CG$2)),$E67,(RiskSlide!$A$7),($G67+CG$3),((RiskSlide!$A$10)/260),$C67,$B67,RiskSlide!$H96)</f>
        <v>-137953.46244483613</v>
      </c>
      <c r="CH67">
        <f>PnL(($D$7*(1+CH$2)),$E67,(RiskSlide!$A$7),($G67+CH$3),((RiskSlide!$A$10)/260),$C67,$B67,RiskSlide!$H96)</f>
        <v>-137953.17347886777</v>
      </c>
      <c r="CI67">
        <f>PnL(($D$7*(1+CI$2)),$E67,(RiskSlide!$A$7),($G67+CI$3),((RiskSlide!$A$10)/260),$C67,$B67,RiskSlide!$H96)</f>
        <v>-137953.01585670171</v>
      </c>
      <c r="CJ67">
        <f>PnL(($D$7*(1+CJ$2)),$E67,(RiskSlide!$A$7),($G67+CJ$3),((RiskSlide!$A$10)/260),$C67,$B67,RiskSlide!$H96)</f>
        <v>-137952.93615917352</v>
      </c>
      <c r="CK67">
        <f>PnL(($D$7*(1+CK$2)),$E67,(RiskSlide!$A$7),($G67+CK$3),((RiskSlide!$A$10)/260),$C67,$B67,RiskSlide!$H96)</f>
        <v>-137952.89929216003</v>
      </c>
      <c r="CL67">
        <f>PnL(($D$7*(1+CL$2)),$E67,(RiskSlide!$A$7),($G67+CL$3),((RiskSlide!$A$10)/260),$C67,$B67,RiskSlide!$H96)</f>
        <v>-137952.87591368909</v>
      </c>
      <c r="CM67">
        <f>PnL(($D$7*(1+CM$2)),$E67,(RiskSlide!$A$7),($G67+CM$3),((RiskSlide!$A$10)/260),$C67,$B67,RiskSlide!$H96)</f>
        <v>-137952.87591368257</v>
      </c>
    </row>
    <row r="68" spans="1:91" x14ac:dyDescent="0.25">
      <c r="A68" t="s">
        <v>63</v>
      </c>
      <c r="B68">
        <v>-48</v>
      </c>
      <c r="C68">
        <v>1</v>
      </c>
      <c r="E68">
        <v>1845</v>
      </c>
      <c r="F68">
        <v>3.5000000000000001E-3</v>
      </c>
      <c r="G68">
        <v>0.12648899999999999</v>
      </c>
      <c r="K68">
        <f>PnL(($D$7*(1+K$2)),$E68,(RiskSlide!$A$7),($G68+K$3),((RiskSlide!$A$10)/260),$C68,$B68,RiskSlide!$H97)</f>
        <v>318.69616005352697</v>
      </c>
      <c r="L68">
        <f>PnL(($D$7*(1+L$2)),$E68,(RiskSlide!$A$7),($G68+L$3),((RiskSlide!$A$10)/260),$C68,$B68,RiskSlide!$H97)</f>
        <v>318.70276644219973</v>
      </c>
      <c r="M68">
        <f>PnL(($D$7*(1+M$2)),$E68,(RiskSlide!$A$7),($G68+M$3),((RiskSlide!$A$10)/260),$C68,$B68,RiskSlide!$H97)</f>
        <v>318.7027674824032</v>
      </c>
      <c r="N68">
        <f>PnL(($D$7*(1+N$2)),$E68,(RiskSlide!$A$7),($G68+N$3),((RiskSlide!$A$10)/260),$C68,$B68,RiskSlide!$H97)</f>
        <v>318.70276748240371</v>
      </c>
      <c r="O68">
        <f>PnL(($D$7*(1+O$2)),$E68,(RiskSlide!$A$7),($G68+O$3),((RiskSlide!$A$10)/260),$C68,$B68,RiskSlide!$H97)</f>
        <v>318.70276748240371</v>
      </c>
      <c r="P68">
        <f>PnL(($D$7*(1+P$2)),$E68,(RiskSlide!$A$7),($G68+P$3),((RiskSlide!$A$10)/260),$C68,$B68,RiskSlide!$H97)</f>
        <v>318.70276748240371</v>
      </c>
      <c r="Q68">
        <f>PnL(($D$7*(1+Q$2)),$E68,(RiskSlide!$A$7),($G68+Q$3),((RiskSlide!$A$10)/260),$C68,$B68,RiskSlide!$H97)</f>
        <v>318.70276748240371</v>
      </c>
      <c r="R68">
        <f>PnL(($D$7*(1+R$2)),$E68,(RiskSlide!$A$7),($G68+R$3),((RiskSlide!$A$10)/260),$C68,$B68,RiskSlide!$H97)</f>
        <v>318.70276748240371</v>
      </c>
      <c r="S68">
        <f>PnL(($D$7*(1+S$2)),$E68,(RiskSlide!$A$7),($G68+S$3),((RiskSlide!$A$10)/260),$C68,$B68,RiskSlide!$H97)</f>
        <v>318.70276748240371</v>
      </c>
      <c r="T68">
        <f>PnL(($D$7*(1+T$2)),$E68,(RiskSlide!$A$7),($G68+T$3),((RiskSlide!$A$10)/260),$C68,$B68,RiskSlide!$H97)</f>
        <v>282.38441687078239</v>
      </c>
      <c r="U68">
        <f>PnL(($D$7*(1+U$2)),$E68,(RiskSlide!$A$7),($G68+U$3),((RiskSlide!$A$10)/260),$C68,$B68,RiskSlide!$H97)</f>
        <v>317.80553551004755</v>
      </c>
      <c r="V68">
        <f>PnL(($D$7*(1+V$2)),$E68,(RiskSlide!$A$7),($G68+V$3),((RiskSlide!$A$10)/260),$C68,$B68,RiskSlide!$H97)</f>
        <v>318.70032272321589</v>
      </c>
      <c r="W68">
        <f>PnL(($D$7*(1+W$2)),$E68,(RiskSlide!$A$7),($G68+W$3),((RiskSlide!$A$10)/260),$C68,$B68,RiskSlide!$H97)</f>
        <v>318.70195903984018</v>
      </c>
      <c r="X68">
        <f>PnL(($D$7*(1+X$2)),$E68,(RiskSlide!$A$7),($G68+X$3),((RiskSlide!$A$10)/260),$C68,$B68,RiskSlide!$H97)</f>
        <v>318.70253169474813</v>
      </c>
      <c r="Y68">
        <f>PnL(($D$7*(1+Y$2)),$E68,(RiskSlide!$A$7),($G68+Y$3),((RiskSlide!$A$10)/260),$C68,$B68,RiskSlide!$H97)</f>
        <v>318.70270807180549</v>
      </c>
      <c r="Z68">
        <f>PnL(($D$7*(1+Z$2)),$E68,(RiskSlide!$A$7),($G68+Z$3),((RiskSlide!$A$10)/260),$C68,$B68,RiskSlide!$H97)</f>
        <v>318.70275487181999</v>
      </c>
      <c r="AA68">
        <f>PnL(($D$7*(1+AA$2)),$E68,(RiskSlide!$A$7),($G68+AA$3),((RiskSlide!$A$10)/260),$C68,$B68,RiskSlide!$H97)</f>
        <v>318.70276748240371</v>
      </c>
      <c r="AB68">
        <f>PnL(($D$7*(1+AB$2)),$E68,(RiskSlide!$A$7),($G68+AB$3),((RiskSlide!$A$10)/260),$C68,$B68,RiskSlide!$H97)</f>
        <v>318.70276748240371</v>
      </c>
      <c r="AC68">
        <f>PnL(($D$7*(1+AC$2)),$E68,(RiskSlide!$A$7),($G68+AC$3),((RiskSlide!$A$10)/260),$C68,$B68,RiskSlide!$H97)</f>
        <v>-2539.010942152112</v>
      </c>
      <c r="AD68">
        <f>PnL(($D$7*(1+AD$2)),$E68,(RiskSlide!$A$7),($G68+AD$3),((RiskSlide!$A$10)/260),$C68,$B68,RiskSlide!$H97)</f>
        <v>-389.47128548982732</v>
      </c>
      <c r="AE68">
        <f>PnL(($D$7*(1+AE$2)),$E68,(RiskSlide!$A$7),($G68+AE$3),((RiskSlide!$A$10)/260),$C68,$B68,RiskSlide!$H97)</f>
        <v>226.51210621522893</v>
      </c>
      <c r="AF68">
        <f>PnL(($D$7*(1+AF$2)),$E68,(RiskSlide!$A$7),($G68+AF$3),((RiskSlide!$A$10)/260),$C68,$B68,RiskSlide!$H97)</f>
        <v>254.79034528707558</v>
      </c>
      <c r="AG68">
        <f>PnL(($D$7*(1+AG$2)),$E68,(RiskSlide!$A$7),($G68+AG$3),((RiskSlide!$A$10)/260),$C68,$B68,RiskSlide!$H97)</f>
        <v>276.01804588451307</v>
      </c>
      <c r="AH68">
        <f>PnL(($D$7*(1+AH$2)),$E68,(RiskSlide!$A$7),($G68+AH$3),((RiskSlide!$A$10)/260),$C68,$B68,RiskSlide!$H97)</f>
        <v>291.40099448653592</v>
      </c>
      <c r="AI68">
        <f>PnL(($D$7*(1+AI$2)),$E68,(RiskSlide!$A$7),($G68+AI$3),((RiskSlide!$A$10)/260),$C68,$B68,RiskSlide!$H97)</f>
        <v>302.09780325927619</v>
      </c>
      <c r="AJ68">
        <f>PnL(($D$7*(1+AJ$2)),$E68,(RiskSlide!$A$7),($G68+AJ$3),((RiskSlide!$A$10)/260),$C68,$B68,RiskSlide!$H97)</f>
        <v>318.69346068957532</v>
      </c>
      <c r="AK68">
        <f>PnL(($D$7*(1+AK$2)),$E68,(RiskSlide!$A$7),($G68+AK$3),((RiskSlide!$A$10)/260),$C68,$B68,RiskSlide!$H97)</f>
        <v>318.70276748240371</v>
      </c>
      <c r="AL68">
        <f>PnL(($D$7*(1+AL$2)),$E68,(RiskSlide!$A$7),($G68+AL$3),((RiskSlide!$A$10)/260),$C68,$B68,RiskSlide!$H97)</f>
        <v>-3996.5547389512549</v>
      </c>
      <c r="AM68">
        <f>PnL(($D$7*(1+AM$2)),$E68,(RiskSlide!$A$7),($G68+AM$3),((RiskSlide!$A$10)/260),$C68,$B68,RiskSlide!$H97)</f>
        <v>-980.00895097187595</v>
      </c>
      <c r="AN68">
        <f>PnL(($D$7*(1+AN$2)),$E68,(RiskSlide!$A$7),($G68+AN$3),((RiskSlide!$A$10)/260),$C68,$B68,RiskSlide!$H97)</f>
        <v>86.386870937946014</v>
      </c>
      <c r="AO68">
        <f>PnL(($D$7*(1+AO$2)),$E68,(RiskSlide!$A$7),($G68+AO$3),((RiskSlide!$A$10)/260),$C68,$B68,RiskSlide!$H97)</f>
        <v>147.65358727208024</v>
      </c>
      <c r="AP68">
        <f>PnL(($D$7*(1+AP$2)),$E68,(RiskSlide!$A$7),($G68+AP$3),((RiskSlide!$A$10)/260),$C68,$B68,RiskSlide!$H97)</f>
        <v>196.52389086791686</v>
      </c>
      <c r="AQ68">
        <f>PnL(($D$7*(1+AQ$2)),$E68,(RiskSlide!$A$7),($G68+AQ$3),((RiskSlide!$A$10)/260),$C68,$B68,RiskSlide!$H97)</f>
        <v>234.43645232054635</v>
      </c>
      <c r="AR68">
        <f>PnL(($D$7*(1+AR$2)),$E68,(RiskSlide!$A$7),($G68+AR$3),((RiskSlide!$A$10)/260),$C68,$B68,RiskSlide!$H97)</f>
        <v>262.90581135546131</v>
      </c>
      <c r="AS68">
        <f>PnL(($D$7*(1+AS$2)),$E68,(RiskSlide!$A$7),($G68+AS$3),((RiskSlide!$A$10)/260),$C68,$B68,RiskSlide!$H97)</f>
        <v>318.57981242449551</v>
      </c>
      <c r="AT68">
        <f>PnL(($D$7*(1+AT$2)),$E68,(RiskSlide!$A$7),($G68+AT$3),((RiskSlide!$A$10)/260),$C68,$B68,RiskSlide!$H97)</f>
        <v>318.70276748240371</v>
      </c>
      <c r="AU68">
        <f>PnL(($D$7*(1+AU$2)),$E68,(RiskSlide!$A$7),($G68+AU$3),((RiskSlide!$A$10)/260),$C68,$B68,RiskSlide!$H97)</f>
        <v>-6026.4647850895299</v>
      </c>
      <c r="AV68">
        <f>PnL(($D$7*(1+AV$2)),$E68,(RiskSlide!$A$7),($G68+AV$3),((RiskSlide!$A$10)/260),$C68,$B68,RiskSlide!$H97)</f>
        <v>-1957.3020137530932</v>
      </c>
      <c r="AW68">
        <f>PnL(($D$7*(1+AW$2)),$E68,(RiskSlide!$A$7),($G68+AW$3),((RiskSlide!$A$10)/260),$C68,$B68,RiskSlide!$H97)</f>
        <v>-222.32223401504712</v>
      </c>
      <c r="AX68">
        <f>PnL(($D$7*(1+AX$2)),$E68,(RiskSlide!$A$7),($G68+AX$3),((RiskSlide!$A$10)/260),$C68,$B68,RiskSlide!$H97)</f>
        <v>-101.58217650906352</v>
      </c>
      <c r="AY68">
        <f>PnL(($D$7*(1+AY$2)),$E68,(RiskSlide!$A$7),($G68+AY$3),((RiskSlide!$A$10)/260),$C68,$B68,RiskSlide!$H97)</f>
        <v>0</v>
      </c>
      <c r="AZ68">
        <f>PnL(($D$7*(1+AZ$2)),$E68,(RiskSlide!$A$7),($G68+AZ$3),((RiskSlide!$A$10)/260),$C68,$B68,RiskSlide!$H97)</f>
        <v>83.66474576351095</v>
      </c>
      <c r="BA68">
        <f>PnL(($D$7*(1+BA$2)),$E68,(RiskSlide!$A$7),($G68+BA$3),((RiskSlide!$A$10)/260),$C68,$B68,RiskSlide!$H97)</f>
        <v>150.87684499686276</v>
      </c>
      <c r="BB68">
        <f>PnL(($D$7*(1+BB$2)),$E68,(RiskSlide!$A$7),($G68+BB$3),((RiskSlide!$A$10)/260),$C68,$B68,RiskSlide!$H97)</f>
        <v>317.46392250985429</v>
      </c>
      <c r="BC68">
        <f>PnL(($D$7*(1+BC$2)),$E68,(RiskSlide!$A$7),($G68+BC$3),((RiskSlide!$A$10)/260),$C68,$B68,RiskSlide!$H97)</f>
        <v>318.70276748240371</v>
      </c>
      <c r="BD68">
        <f>PnL(($D$7*(1+BD$2)),$E68,(RiskSlide!$A$7),($G68+BD$3),((RiskSlide!$A$10)/260),$C68,$B68,RiskSlide!$H97)</f>
        <v>-8775.3252389648478</v>
      </c>
      <c r="BE68">
        <f>PnL(($D$7*(1+BE$2)),$E68,(RiskSlide!$A$7),($G68+BE$3),((RiskSlide!$A$10)/260),$C68,$B68,RiskSlide!$H97)</f>
        <v>-3499.578529608294</v>
      </c>
      <c r="BF68">
        <f>PnL(($D$7*(1+BF$2)),$E68,(RiskSlide!$A$7),($G68+BF$3),((RiskSlide!$A$10)/260),$C68,$B68,RiskSlide!$H97)</f>
        <v>-849.12125662460198</v>
      </c>
      <c r="BG68">
        <f>PnL(($D$7*(1+BG$2)),$E68,(RiskSlide!$A$7),($G68+BG$3),((RiskSlide!$A$10)/260),$C68,$B68,RiskSlide!$H97)</f>
        <v>-632.39938325079379</v>
      </c>
      <c r="BH68">
        <f>PnL(($D$7*(1+BH$2)),$E68,(RiskSlide!$A$7),($G68+BH$3),((RiskSlide!$A$10)/260),$C68,$B68,RiskSlide!$H97)</f>
        <v>-441.48939192472767</v>
      </c>
      <c r="BI68">
        <f>PnL(($D$7*(1+BI$2)),$E68,(RiskSlide!$A$7),($G68+BI$3),((RiskSlide!$A$10)/260),$C68,$B68,RiskSlide!$H97)</f>
        <v>-275.92495139784319</v>
      </c>
      <c r="BJ68">
        <f>PnL(($D$7*(1+BJ$2)),$E68,(RiskSlide!$A$7),($G68+BJ$3),((RiskSlide!$A$10)/260),$C68,$B68,RiskSlide!$H97)</f>
        <v>-134.9451778676098</v>
      </c>
      <c r="BK68">
        <f>PnL(($D$7*(1+BK$2)),$E68,(RiskSlide!$A$7),($G68+BK$3),((RiskSlide!$A$10)/260),$C68,$B68,RiskSlide!$H97)</f>
        <v>309.10353347979668</v>
      </c>
      <c r="BL68">
        <f>PnL(($D$7*(1+BL$2)),$E68,(RiskSlide!$A$7),($G68+BL$3),((RiskSlide!$A$10)/260),$C68,$B68,RiskSlide!$H97)</f>
        <v>318.70276748240371</v>
      </c>
      <c r="BM68">
        <f>PnL(($D$7*(1+BM$2)),$E68,(RiskSlide!$A$7),($G68+BM$3),((RiskSlide!$A$10)/260),$C68,$B68,RiskSlide!$H97)</f>
        <v>-12398.339966359623</v>
      </c>
      <c r="BN68">
        <f>PnL(($D$7*(1+BN$2)),$E68,(RiskSlide!$A$7),($G68+BN$3),((RiskSlide!$A$10)/260),$C68,$B68,RiskSlide!$H97)</f>
        <v>-5824.263960058357</v>
      </c>
      <c r="BO68">
        <f>PnL(($D$7*(1+BO$2)),$E68,(RiskSlide!$A$7),($G68+BO$3),((RiskSlide!$A$10)/260),$C68,$B68,RiskSlide!$H97)</f>
        <v>-2025.1162702728209</v>
      </c>
      <c r="BP68">
        <f>PnL(($D$7*(1+BP$2)),$E68,(RiskSlide!$A$7),($G68+BP$3),((RiskSlide!$A$10)/260),$C68,$B68,RiskSlide!$H97)</f>
        <v>-1670.3489182915916</v>
      </c>
      <c r="BQ68">
        <f>PnL(($D$7*(1+BQ$2)),$E68,(RiskSlide!$A$7),($G68+BQ$3),((RiskSlide!$A$10)/260),$C68,$B68,RiskSlide!$H97)</f>
        <v>-1345.4994027707301</v>
      </c>
      <c r="BR68">
        <f>PnL(($D$7*(1+BR$2)),$E68,(RiskSlide!$A$7),($G68+BR$3),((RiskSlide!$A$10)/260),$C68,$B68,RiskSlide!$H97)</f>
        <v>-1051.2587835271631</v>
      </c>
      <c r="BS68">
        <f>PnL(($D$7*(1+BS$2)),$E68,(RiskSlide!$A$7),($G68+BS$3),((RiskSlide!$A$10)/260),$C68,$B68,RiskSlide!$H97)</f>
        <v>-788.11275732651325</v>
      </c>
      <c r="BT68">
        <f>PnL(($D$7*(1+BT$2)),$E68,(RiskSlide!$A$7),($G68+BT$3),((RiskSlide!$A$10)/260),$C68,$B68,RiskSlide!$H97)</f>
        <v>260.96321186335558</v>
      </c>
      <c r="BU68">
        <f>PnL(($D$7*(1+BU$2)),$E68,(RiskSlide!$A$7),($G68+BU$3),((RiskSlide!$A$10)/260),$C68,$B68,RiskSlide!$H97)</f>
        <v>318.70276748236466</v>
      </c>
      <c r="BV68">
        <f>PnL(($D$7*(1+BV$2)),$E68,(RiskSlide!$A$7),($G68+BV$3),((RiskSlide!$A$10)/260),$C68,$B68,RiskSlide!$H97)</f>
        <v>-87014.779839882714</v>
      </c>
      <c r="BW68">
        <f>PnL(($D$7*(1+BW$2)),$E68,(RiskSlide!$A$7),($G68+BW$3),((RiskSlide!$A$10)/260),$C68,$B68,RiskSlide!$H97)</f>
        <v>-77610.991987132278</v>
      </c>
      <c r="BX68">
        <f>PnL(($D$7*(1+BX$2)),$E68,(RiskSlide!$A$7),($G68+BX$3),((RiskSlide!$A$10)/260),$C68,$B68,RiskSlide!$H97)</f>
        <v>-70836.985823291354</v>
      </c>
      <c r="BY68">
        <f>PnL(($D$7*(1+BY$2)),$E68,(RiskSlide!$A$7),($G68+BY$3),((RiskSlide!$A$10)/260),$C68,$B68,RiskSlide!$H97)</f>
        <v>-70064.292758820477</v>
      </c>
      <c r="BZ68">
        <f>PnL(($D$7*(1+BZ$2)),$E68,(RiskSlide!$A$7),($G68+BZ$3),((RiskSlide!$A$10)/260),$C68,$B68,RiskSlide!$H97)</f>
        <v>-69313.040904652109</v>
      </c>
      <c r="CA68">
        <f>PnL(($D$7*(1+CA$2)),$E68,(RiskSlide!$A$7),($G68+CA$3),((RiskSlide!$A$10)/260),$C68,$B68,RiskSlide!$H97)</f>
        <v>-68585.167950381496</v>
      </c>
      <c r="CB68">
        <f>PnL(($D$7*(1+CB$2)),$E68,(RiskSlide!$A$7),($G68+CB$3),((RiskSlide!$A$10)/260),$C68,$B68,RiskSlide!$H97)</f>
        <v>-67882.810316739327</v>
      </c>
      <c r="CC68">
        <f>PnL(($D$7*(1+CC$2)),$E68,(RiskSlide!$A$7),($G68+CC$3),((RiskSlide!$A$10)/260),$C68,$B68,RiskSlide!$H97)</f>
        <v>-63510.107046872967</v>
      </c>
      <c r="CD68">
        <f>PnL(($D$7*(1+CD$2)),$E68,(RiskSlide!$A$7),($G68+CD$3),((RiskSlide!$A$10)/260),$C68,$B68,RiskSlide!$H97)</f>
        <v>-62206.95246945152</v>
      </c>
      <c r="CE68">
        <f>PnL(($D$7*(1+CE$2)),$E68,(RiskSlide!$A$7),($G68+CE$3),((RiskSlide!$A$10)/260),$C68,$B68,RiskSlide!$H97)</f>
        <v>-276741.37776327675</v>
      </c>
      <c r="CF68">
        <f>PnL(($D$7*(1+CF$2)),$E68,(RiskSlide!$A$7),($G68+CF$3),((RiskSlide!$A$10)/260),$C68,$B68,RiskSlide!$H97)</f>
        <v>-276115.40078794252</v>
      </c>
      <c r="CG68">
        <f>PnL(($D$7*(1+CG$2)),$E68,(RiskSlide!$A$7),($G68+CG$3),((RiskSlide!$A$10)/260),$C68,$B68,RiskSlide!$H97)</f>
        <v>-276033.44992982579</v>
      </c>
      <c r="CH68">
        <f>PnL(($D$7*(1+CH$2)),$E68,(RiskSlide!$A$7),($G68+CH$3),((RiskSlide!$A$10)/260),$C68,$B68,RiskSlide!$H97)</f>
        <v>-276031.95558404125</v>
      </c>
      <c r="CI68">
        <f>PnL(($D$7*(1+CI$2)),$E68,(RiskSlide!$A$7),($G68+CI$3),((RiskSlide!$A$10)/260),$C68,$B68,RiskSlide!$H97)</f>
        <v>-276031.06908136734</v>
      </c>
      <c r="CJ68">
        <f>PnL(($D$7*(1+CJ$2)),$E68,(RiskSlide!$A$7),($G68+CJ$3),((RiskSlide!$A$10)/260),$C68,$B68,RiskSlide!$H97)</f>
        <v>-276030.575770544</v>
      </c>
      <c r="CK68">
        <f>PnL(($D$7*(1+CK$2)),$E68,(RiskSlide!$A$7),($G68+CK$3),((RiskSlide!$A$10)/260),$C68,$B68,RiskSlide!$H97)</f>
        <v>-276030.32104598492</v>
      </c>
      <c r="CL68">
        <f>PnL(($D$7*(1+CL$2)),$E68,(RiskSlide!$A$7),($G68+CL$3),((RiskSlide!$A$10)/260),$C68,$B68,RiskSlide!$H97)</f>
        <v>-276030.12158314313</v>
      </c>
      <c r="CM68">
        <f>PnL(($D$7*(1+CM$2)),$E68,(RiskSlide!$A$7),($G68+CM$3),((RiskSlide!$A$10)/260),$C68,$B68,RiskSlide!$H97)</f>
        <v>-276030.12158257398</v>
      </c>
    </row>
    <row r="69" spans="1:91" x14ac:dyDescent="0.25">
      <c r="A69" t="s">
        <v>64</v>
      </c>
      <c r="B69">
        <v>-3</v>
      </c>
      <c r="C69">
        <v>1</v>
      </c>
      <c r="E69">
        <v>1850</v>
      </c>
      <c r="F69">
        <v>3.5000000000000001E-3</v>
      </c>
      <c r="G69">
        <v>0.13004099999999999</v>
      </c>
      <c r="K69">
        <f>PnL(($D$7*(1+K$2)),$E69,(RiskSlide!$A$7),($G69+K$3),((RiskSlide!$A$10)/260),$C69,$B69,RiskSlide!$H98)</f>
        <v>15.018479848567551</v>
      </c>
      <c r="L69">
        <f>PnL(($D$7*(1+L$2)),$E69,(RiskSlide!$A$7),($G69+L$3),((RiskSlide!$A$10)/260),$C69,$B69,RiskSlide!$H98)</f>
        <v>15.018861512619996</v>
      </c>
      <c r="M69">
        <f>PnL(($D$7*(1+M$2)),$E69,(RiskSlide!$A$7),($G69+M$3),((RiskSlide!$A$10)/260),$C69,$B69,RiskSlide!$H98)</f>
        <v>15.018861581335356</v>
      </c>
      <c r="N69">
        <f>PnL(($D$7*(1+N$2)),$E69,(RiskSlide!$A$7),($G69+N$3),((RiskSlide!$A$10)/260),$C69,$B69,RiskSlide!$H98)</f>
        <v>15.018861581335404</v>
      </c>
      <c r="O69">
        <f>PnL(($D$7*(1+O$2)),$E69,(RiskSlide!$A$7),($G69+O$3),((RiskSlide!$A$10)/260),$C69,$B69,RiskSlide!$H98)</f>
        <v>15.018861581335408</v>
      </c>
      <c r="P69">
        <f>PnL(($D$7*(1+P$2)),$E69,(RiskSlide!$A$7),($G69+P$3),((RiskSlide!$A$10)/260),$C69,$B69,RiskSlide!$H98)</f>
        <v>15.018861581335408</v>
      </c>
      <c r="Q69">
        <f>PnL(($D$7*(1+Q$2)),$E69,(RiskSlide!$A$7),($G69+Q$3),((RiskSlide!$A$10)/260),$C69,$B69,RiskSlide!$H98)</f>
        <v>15.018861581335408</v>
      </c>
      <c r="R69">
        <f>PnL(($D$7*(1+R$2)),$E69,(RiskSlide!$A$7),($G69+R$3),((RiskSlide!$A$10)/260),$C69,$B69,RiskSlide!$H98)</f>
        <v>15.018861581335408</v>
      </c>
      <c r="S69">
        <f>PnL(($D$7*(1+S$2)),$E69,(RiskSlide!$A$7),($G69+S$3),((RiskSlide!$A$10)/260),$C69,$B69,RiskSlide!$H98)</f>
        <v>15.018861581335408</v>
      </c>
      <c r="T69">
        <f>PnL(($D$7*(1+T$2)),$E69,(RiskSlide!$A$7),($G69+T$3),((RiskSlide!$A$10)/260),$C69,$B69,RiskSlide!$H98)</f>
        <v>13.074311456532882</v>
      </c>
      <c r="U69">
        <f>PnL(($D$7*(1+U$2)),$E69,(RiskSlide!$A$7),($G69+U$3),((RiskSlide!$A$10)/260),$C69,$B69,RiskSlide!$H98)</f>
        <v>14.971562722651715</v>
      </c>
      <c r="V69">
        <f>PnL(($D$7*(1+V$2)),$E69,(RiskSlide!$A$7),($G69+V$3),((RiskSlide!$A$10)/260),$C69,$B69,RiskSlide!$H98)</f>
        <v>15.018725990664814</v>
      </c>
      <c r="W69">
        <f>PnL(($D$7*(1+W$2)),$E69,(RiskSlide!$A$7),($G69+W$3),((RiskSlide!$A$10)/260),$C69,$B69,RiskSlide!$H98)</f>
        <v>15.018815876510693</v>
      </c>
      <c r="X69">
        <f>PnL(($D$7*(1+X$2)),$E69,(RiskSlide!$A$7),($G69+X$3),((RiskSlide!$A$10)/260),$C69,$B69,RiskSlide!$H98)</f>
        <v>15.01884791790236</v>
      </c>
      <c r="Y69">
        <f>PnL(($D$7*(1+Y$2)),$E69,(RiskSlide!$A$7),($G69+Y$3),((RiskSlide!$A$10)/260),$C69,$B69,RiskSlide!$H98)</f>
        <v>15.018858027648562</v>
      </c>
      <c r="Z69">
        <f>PnL(($D$7*(1+Z$2)),$E69,(RiskSlide!$A$7),($G69+Z$3),((RiskSlide!$A$10)/260),$C69,$B69,RiskSlide!$H98)</f>
        <v>15.018860795709248</v>
      </c>
      <c r="AA69">
        <f>PnL(($D$7*(1+AA$2)),$E69,(RiskSlide!$A$7),($G69+AA$3),((RiskSlide!$A$10)/260),$C69,$B69,RiskSlide!$H98)</f>
        <v>15.018861581335408</v>
      </c>
      <c r="AB69">
        <f>PnL(($D$7*(1+AB$2)),$E69,(RiskSlide!$A$7),($G69+AB$3),((RiskSlide!$A$10)/260),$C69,$B69,RiskSlide!$H98)</f>
        <v>15.018861581335408</v>
      </c>
      <c r="AC69">
        <f>PnL(($D$7*(1+AC$2)),$E69,(RiskSlide!$A$7),($G69+AC$3),((RiskSlide!$A$10)/260),$C69,$B69,RiskSlide!$H98)</f>
        <v>-138.6588327106013</v>
      </c>
      <c r="AD69">
        <f>PnL(($D$7*(1+AD$2)),$E69,(RiskSlide!$A$7),($G69+AD$3),((RiskSlide!$A$10)/260),$C69,$B69,RiskSlide!$H98)</f>
        <v>-21.18047582611684</v>
      </c>
      <c r="AE69">
        <f>PnL(($D$7*(1+AE$2)),$E69,(RiskSlide!$A$7),($G69+AE$3),((RiskSlide!$A$10)/260),$C69,$B69,RiskSlide!$H98)</f>
        <v>10.586217792820785</v>
      </c>
      <c r="AF69">
        <f>PnL(($D$7*(1+AF$2)),$E69,(RiskSlide!$A$7),($G69+AF$3),((RiskSlide!$A$10)/260),$C69,$B69,RiskSlide!$H98)</f>
        <v>11.973195972015782</v>
      </c>
      <c r="AG69">
        <f>PnL(($D$7*(1+AG$2)),$E69,(RiskSlide!$A$7),($G69+AG$3),((RiskSlide!$A$10)/260),$C69,$B69,RiskSlide!$H98)</f>
        <v>13.003108282203456</v>
      </c>
      <c r="AH69">
        <f>PnL(($D$7*(1+AH$2)),$E69,(RiskSlide!$A$7),($G69+AH$3),((RiskSlide!$A$10)/260),$C69,$B69,RiskSlide!$H98)</f>
        <v>13.74116288865399</v>
      </c>
      <c r="AI69">
        <f>PnL(($D$7*(1+AI$2)),$E69,(RiskSlide!$A$7),($G69+AI$3),((RiskSlide!$A$10)/260),$C69,$B69,RiskSlide!$H98)</f>
        <v>14.24860013988074</v>
      </c>
      <c r="AJ69">
        <f>PnL(($D$7*(1+AJ$2)),$E69,(RiskSlide!$A$7),($G69+AJ$3),((RiskSlide!$A$10)/260),$C69,$B69,RiskSlide!$H98)</f>
        <v>15.018420385770339</v>
      </c>
      <c r="AK69">
        <f>PnL(($D$7*(1+AK$2)),$E69,(RiskSlide!$A$7),($G69+AK$3),((RiskSlide!$A$10)/260),$C69,$B69,RiskSlide!$H98)</f>
        <v>15.018861581335408</v>
      </c>
      <c r="AL69">
        <f>PnL(($D$7*(1+AL$2)),$E69,(RiskSlide!$A$7),($G69+AL$3),((RiskSlide!$A$10)/260),$C69,$B69,RiskSlide!$H98)</f>
        <v>-217.86529493905479</v>
      </c>
      <c r="AM69">
        <f>PnL(($D$7*(1+AM$2)),$E69,(RiskSlide!$A$7),($G69+AM$3),((RiskSlide!$A$10)/260),$C69,$B69,RiskSlide!$H98)</f>
        <v>-51.59404466236861</v>
      </c>
      <c r="AN69">
        <f>PnL(($D$7*(1+AN$2)),$E69,(RiskSlide!$A$7),($G69+AN$3),((RiskSlide!$A$10)/260),$C69,$B69,RiskSlide!$H98)</f>
        <v>3.853457911692626</v>
      </c>
      <c r="AO69">
        <f>PnL(($D$7*(1+AO$2)),$E69,(RiskSlide!$A$7),($G69+AO$3),((RiskSlide!$A$10)/260),$C69,$B69,RiskSlide!$H98)</f>
        <v>6.8809621602174076</v>
      </c>
      <c r="AP69">
        <f>PnL(($D$7*(1+AP$2)),$E69,(RiskSlide!$A$7),($G69+AP$3),((RiskSlide!$A$10)/260),$C69,$B69,RiskSlide!$H98)</f>
        <v>9.2671910437991389</v>
      </c>
      <c r="AQ69">
        <f>PnL(($D$7*(1+AQ$2)),$E69,(RiskSlide!$A$7),($G69+AQ$3),((RiskSlide!$A$10)/260),$C69,$B69,RiskSlide!$H98)</f>
        <v>11.095208120710343</v>
      </c>
      <c r="AR69">
        <f>PnL(($D$7*(1+AR$2)),$E69,(RiskSlide!$A$7),($G69+AR$3),((RiskSlide!$A$10)/260),$C69,$B69,RiskSlide!$H98)</f>
        <v>12.449909020781735</v>
      </c>
      <c r="AS69">
        <f>PnL(($D$7*(1+AS$2)),$E69,(RiskSlide!$A$7),($G69+AS$3),((RiskSlide!$A$10)/260),$C69,$B69,RiskSlide!$H98)</f>
        <v>15.013476548999478</v>
      </c>
      <c r="AT69">
        <f>PnL(($D$7*(1+AT$2)),$E69,(RiskSlide!$A$7),($G69+AT$3),((RiskSlide!$A$10)/260),$C69,$B69,RiskSlide!$H98)</f>
        <v>15.018861581335408</v>
      </c>
      <c r="AU69">
        <f>PnL(($D$7*(1+AU$2)),$E69,(RiskSlide!$A$7),($G69+AU$3),((RiskSlide!$A$10)/260),$C69,$B69,RiskSlide!$H98)</f>
        <v>-328.80659092152433</v>
      </c>
      <c r="AV69">
        <f>PnL(($D$7*(1+AV$2)),$E69,(RiskSlide!$A$7),($G69+AV$3),((RiskSlide!$A$10)/260),$C69,$B69,RiskSlide!$H98)</f>
        <v>-102.27125160431231</v>
      </c>
      <c r="AW69">
        <f>PnL(($D$7*(1+AW$2)),$E69,(RiskSlide!$A$7),($G69+AW$3),((RiskSlide!$A$10)/260),$C69,$B69,RiskSlide!$H98)</f>
        <v>-11.056454185436415</v>
      </c>
      <c r="AX69">
        <f>PnL(($D$7*(1+AX$2)),$E69,(RiskSlide!$A$7),($G69+AX$3),((RiskSlide!$A$10)/260),$C69,$B69,RiskSlide!$H98)</f>
        <v>-5.017597066765056</v>
      </c>
      <c r="AY69">
        <f>PnL(($D$7*(1+AY$2)),$E69,(RiskSlide!$A$7),($G69+AY$3),((RiskSlide!$A$10)/260),$C69,$B69,RiskSlide!$H98)</f>
        <v>0</v>
      </c>
      <c r="AZ69">
        <f>PnL(($D$7*(1+AZ$2)),$E69,(RiskSlide!$A$7),($G69+AZ$3),((RiskSlide!$A$10)/260),$C69,$B69,RiskSlide!$H98)</f>
        <v>4.0776502364845868</v>
      </c>
      <c r="BA69">
        <f>PnL(($D$7*(1+BA$2)),$E69,(RiskSlide!$A$7),($G69+BA$3),((RiskSlide!$A$10)/260),$C69,$B69,RiskSlide!$H98)</f>
        <v>7.3068990972608105</v>
      </c>
      <c r="BB69">
        <f>PnL(($D$7*(1+BB$2)),$E69,(RiskSlide!$A$7),($G69+BB$3),((RiskSlide!$A$10)/260),$C69,$B69,RiskSlide!$H98)</f>
        <v>14.967608870222913</v>
      </c>
      <c r="BC69">
        <f>PnL(($D$7*(1+BC$2)),$E69,(RiskSlide!$A$7),($G69+BC$3),((RiskSlide!$A$10)/260),$C69,$B69,RiskSlide!$H98)</f>
        <v>15.018861581335408</v>
      </c>
      <c r="BD69">
        <f>PnL(($D$7*(1+BD$2)),$E69,(RiskSlide!$A$7),($G69+BD$3),((RiskSlide!$A$10)/260),$C69,$B69,RiskSlide!$H98)</f>
        <v>-479.98623441985535</v>
      </c>
      <c r="BE69">
        <f>PnL(($D$7*(1+BE$2)),$E69,(RiskSlide!$A$7),($G69+BE$3),((RiskSlide!$A$10)/260),$C69,$B69,RiskSlide!$H98)</f>
        <v>-182.90722361951399</v>
      </c>
      <c r="BF69">
        <f>PnL(($D$7*(1+BF$2)),$E69,(RiskSlide!$A$7),($G69+BF$3),((RiskSlide!$A$10)/260),$C69,$B69,RiskSlide!$H98)</f>
        <v>-41.590731661319147</v>
      </c>
      <c r="BG69">
        <f>PnL(($D$7*(1+BG$2)),$E69,(RiskSlide!$A$7),($G69+BG$3),((RiskSlide!$A$10)/260),$C69,$B69,RiskSlide!$H98)</f>
        <v>-30.569686996774159</v>
      </c>
      <c r="BH69">
        <f>PnL(($D$7*(1+BH$2)),$E69,(RiskSlide!$A$7),($G69+BH$3),((RiskSlide!$A$10)/260),$C69,$B69,RiskSlide!$H98)</f>
        <v>-20.981640830431481</v>
      </c>
      <c r="BI69">
        <f>PnL(($D$7*(1+BI$2)),$E69,(RiskSlide!$A$7),($G69+BI$3),((RiskSlide!$A$10)/260),$C69,$B69,RiskSlide!$H98)</f>
        <v>-12.778222955690488</v>
      </c>
      <c r="BJ69">
        <f>PnL(($D$7*(1+BJ$2)),$E69,(RiskSlide!$A$7),($G69+BJ$3),((RiskSlide!$A$10)/260),$C69,$B69,RiskSlide!$H98)</f>
        <v>-5.8946356525087396</v>
      </c>
      <c r="BK69">
        <f>PnL(($D$7*(1+BK$2)),$E69,(RiskSlide!$A$7),($G69+BK$3),((RiskSlide!$A$10)/260),$C69,$B69,RiskSlide!$H98)</f>
        <v>14.635699707925287</v>
      </c>
      <c r="BL69">
        <f>PnL(($D$7*(1+BL$2)),$E69,(RiskSlide!$A$7),($G69+BL$3),((RiskSlide!$A$10)/260),$C69,$B69,RiskSlide!$H98)</f>
        <v>15.018861581335408</v>
      </c>
      <c r="BM69">
        <f>PnL(($D$7*(1+BM$2)),$E69,(RiskSlide!$A$7),($G69+BM$3),((RiskSlide!$A$10)/260),$C69,$B69,RiskSlide!$H98)</f>
        <v>-680.59743279342035</v>
      </c>
      <c r="BN69">
        <f>PnL(($D$7*(1+BN$2)),$E69,(RiskSlide!$A$7),($G69+BN$3),((RiskSlide!$A$10)/260),$C69,$B69,RiskSlide!$H98)</f>
        <v>-305.61306395202996</v>
      </c>
      <c r="BO69">
        <f>PnL(($D$7*(1+BO$2)),$E69,(RiskSlide!$A$7),($G69+BO$3),((RiskSlide!$A$10)/260),$C69,$B69,RiskSlide!$H98)</f>
        <v>-99.557007512965782</v>
      </c>
      <c r="BP69">
        <f>PnL(($D$7*(1+BP$2)),$E69,(RiskSlide!$A$7),($G69+BP$3),((RiskSlide!$A$10)/260),$C69,$B69,RiskSlide!$H98)</f>
        <v>-81.131198390430541</v>
      </c>
      <c r="BQ69">
        <f>PnL(($D$7*(1+BQ$2)),$E69,(RiskSlide!$A$7),($G69+BQ$3),((RiskSlide!$A$10)/260),$C69,$B69,RiskSlide!$H98)</f>
        <v>-64.459149706075351</v>
      </c>
      <c r="BR69">
        <f>PnL(($D$7*(1+BR$2)),$E69,(RiskSlide!$A$7),($G69+BR$3),((RiskSlide!$A$10)/260),$C69,$B69,RiskSlide!$H98)</f>
        <v>-49.553608269988736</v>
      </c>
      <c r="BS69">
        <f>PnL(($D$7*(1+BS$2)),$E69,(RiskSlide!$A$7),($G69+BS$3),((RiskSlide!$A$10)/260),$C69,$B69,RiskSlide!$H98)</f>
        <v>-36.412308186704756</v>
      </c>
      <c r="BT69">
        <f>PnL(($D$7*(1+BT$2)),$E69,(RiskSlide!$A$7),($G69+BT$3),((RiskSlide!$A$10)/260),$C69,$B69,RiskSlide!$H98)</f>
        <v>12.750610943883744</v>
      </c>
      <c r="BU69">
        <f>PnL(($D$7*(1+BU$2)),$E69,(RiskSlide!$A$7),($G69+BU$3),((RiskSlide!$A$10)/260),$C69,$B69,RiskSlide!$H98)</f>
        <v>15.018861581325366</v>
      </c>
      <c r="BV69">
        <f>PnL(($D$7*(1+BV$2)),$E69,(RiskSlide!$A$7),($G69+BV$3),((RiskSlide!$A$10)/260),$C69,$B69,RiskSlide!$H98)</f>
        <v>-4986.9891146279215</v>
      </c>
      <c r="BW69">
        <f>PnL(($D$7*(1+BW$2)),$E69,(RiskSlide!$A$7),($G69+BW$3),((RiskSlide!$A$10)/260),$C69,$B69,RiskSlide!$H98)</f>
        <v>-4362.5519762781896</v>
      </c>
      <c r="BX69">
        <f>PnL(($D$7*(1+BX$2)),$E69,(RiskSlide!$A$7),($G69+BX$3),((RiskSlide!$A$10)/260),$C69,$B69,RiskSlide!$H98)</f>
        <v>-3894.1409787936445</v>
      </c>
      <c r="BY69">
        <f>PnL(($D$7*(1+BY$2)),$E69,(RiskSlide!$A$7),($G69+BY$3),((RiskSlide!$A$10)/260),$C69,$B69,RiskSlide!$H98)</f>
        <v>-3838.7378378588901</v>
      </c>
      <c r="BZ69">
        <f>PnL(($D$7*(1+BZ$2)),$E69,(RiskSlide!$A$7),($G69+BZ$3),((RiskSlide!$A$10)/260),$C69,$B69,RiskSlide!$H98)</f>
        <v>-3784.2641114720786</v>
      </c>
      <c r="CA69">
        <f>PnL(($D$7*(1+CA$2)),$E69,(RiskSlide!$A$7),($G69+CA$3),((RiskSlide!$A$10)/260),$C69,$B69,RiskSlide!$H98)</f>
        <v>-3730.8127920319644</v>
      </c>
      <c r="CB69">
        <f>PnL(($D$7*(1+CB$2)),$E69,(RiskSlide!$A$7),($G69+CB$3),((RiskSlide!$A$10)/260),$C69,$B69,RiskSlide!$H98)</f>
        <v>-3678.4887055551972</v>
      </c>
      <c r="CC69">
        <f>PnL(($D$7*(1+CC$2)),$E69,(RiskSlide!$A$7),($G69+CC$3),((RiskSlide!$A$10)/260),$C69,$B69,RiskSlide!$H98)</f>
        <v>-3318.4789147309298</v>
      </c>
      <c r="CD69">
        <f>PnL(($D$7*(1+CD$2)),$E69,(RiskSlide!$A$7),($G69+CD$3),((RiskSlide!$A$10)/260),$C69,$B69,RiskSlide!$H98)</f>
        <v>-3143.2215560018685</v>
      </c>
      <c r="CE69">
        <f>PnL(($D$7*(1+CE$2)),$E69,(RiskSlide!$A$7),($G69+CE$3),((RiskSlide!$A$10)/260),$C69,$B69,RiskSlide!$H98)</f>
        <v>-16571.169305687559</v>
      </c>
      <c r="CF69">
        <f>PnL(($D$7*(1+CF$2)),$E69,(RiskSlide!$A$7),($G69+CF$3),((RiskSlide!$A$10)/260),$C69,$B69,RiskSlide!$H98)</f>
        <v>-16516.464229864745</v>
      </c>
      <c r="CG69">
        <f>PnL(($D$7*(1+CG$2)),$E69,(RiskSlide!$A$7),($G69+CG$3),((RiskSlide!$A$10)/260),$C69,$B69,RiskSlide!$H98)</f>
        <v>-16507.386934555008</v>
      </c>
      <c r="CH69">
        <f>PnL(($D$7*(1+CH$2)),$E69,(RiskSlide!$A$7),($G69+CH$3),((RiskSlide!$A$10)/260),$C69,$B69,RiskSlide!$H98)</f>
        <v>-16507.16006386956</v>
      </c>
      <c r="CI69">
        <f>PnL(($D$7*(1+CI$2)),$E69,(RiskSlide!$A$7),($G69+CI$3),((RiskSlide!$A$10)/260),$C69,$B69,RiskSlide!$H98)</f>
        <v>-16507.013988253948</v>
      </c>
      <c r="CJ69">
        <f>PnL(($D$7*(1+CJ$2)),$E69,(RiskSlide!$A$7),($G69+CJ$3),((RiskSlide!$A$10)/260),$C69,$B69,RiskSlide!$H98)</f>
        <v>-16506.92474363872</v>
      </c>
      <c r="CK69">
        <f>PnL(($D$7*(1+CK$2)),$E69,(RiskSlide!$A$7),($G69+CK$3),((RiskSlide!$A$10)/260),$C69,$B69,RiskSlide!$H98)</f>
        <v>-16506.873452959178</v>
      </c>
      <c r="CL69">
        <f>PnL(($D$7*(1+CL$2)),$E69,(RiskSlide!$A$7),($G69+CL$3),((RiskSlide!$A$10)/260),$C69,$B69,RiskSlide!$H98)</f>
        <v>-16506.823045138346</v>
      </c>
      <c r="CM69">
        <f>PnL(($D$7*(1+CM$2)),$E69,(RiskSlide!$A$7),($G69+CM$3),((RiskSlide!$A$10)/260),$C69,$B69,RiskSlide!$H98)</f>
        <v>-16506.823043825298</v>
      </c>
    </row>
    <row r="70" spans="1:91" x14ac:dyDescent="0.25">
      <c r="A70" t="s">
        <v>65</v>
      </c>
      <c r="B70">
        <v>0</v>
      </c>
      <c r="C70">
        <v>1</v>
      </c>
      <c r="E70">
        <v>1860</v>
      </c>
      <c r="F70">
        <v>3.5000000000000001E-3</v>
      </c>
      <c r="G70">
        <v>0.14034099999999999</v>
      </c>
      <c r="K70">
        <f>PnL(($D$7*(1+K$2)),$E70,(RiskSlide!$A$7),($G70+K$3),((RiskSlide!$A$10)/260),$C70,$B70,RiskSlide!$H99)</f>
        <v>0</v>
      </c>
      <c r="L70">
        <f>PnL(($D$7*(1+L$2)),$E70,(RiskSlide!$A$7),($G70+L$3),((RiskSlide!$A$10)/260),$C70,$B70,RiskSlide!$H99)</f>
        <v>0</v>
      </c>
      <c r="M70">
        <f>PnL(($D$7*(1+M$2)),$E70,(RiskSlide!$A$7),($G70+M$3),((RiskSlide!$A$10)/260),$C70,$B70,RiskSlide!$H99)</f>
        <v>0</v>
      </c>
      <c r="N70">
        <f>PnL(($D$7*(1+N$2)),$E70,(RiskSlide!$A$7),($G70+N$3),((RiskSlide!$A$10)/260),$C70,$B70,RiskSlide!$H99)</f>
        <v>0</v>
      </c>
      <c r="O70">
        <f>PnL(($D$7*(1+O$2)),$E70,(RiskSlide!$A$7),($G70+O$3),((RiskSlide!$A$10)/260),$C70,$B70,RiskSlide!$H99)</f>
        <v>0</v>
      </c>
      <c r="P70">
        <f>PnL(($D$7*(1+P$2)),$E70,(RiskSlide!$A$7),($G70+P$3),((RiskSlide!$A$10)/260),$C70,$B70,RiskSlide!$H99)</f>
        <v>0</v>
      </c>
      <c r="Q70">
        <f>PnL(($D$7*(1+Q$2)),$E70,(RiskSlide!$A$7),($G70+Q$3),((RiskSlide!$A$10)/260),$C70,$B70,RiskSlide!$H99)</f>
        <v>0</v>
      </c>
      <c r="R70">
        <f>PnL(($D$7*(1+R$2)),$E70,(RiskSlide!$A$7),($G70+R$3),((RiskSlide!$A$10)/260),$C70,$B70,RiskSlide!$H99)</f>
        <v>0</v>
      </c>
      <c r="S70">
        <f>PnL(($D$7*(1+S$2)),$E70,(RiskSlide!$A$7),($G70+S$3),((RiskSlide!$A$10)/260),$C70,$B70,RiskSlide!$H99)</f>
        <v>0</v>
      </c>
      <c r="T70">
        <f>PnL(($D$7*(1+T$2)),$E70,(RiskSlide!$A$7),($G70+T$3),((RiskSlide!$A$10)/260),$C70,$B70,RiskSlide!$H99)</f>
        <v>0</v>
      </c>
      <c r="U70">
        <f>PnL(($D$7*(1+U$2)),$E70,(RiskSlide!$A$7),($G70+U$3),((RiskSlide!$A$10)/260),$C70,$B70,RiskSlide!$H99)</f>
        <v>0</v>
      </c>
      <c r="V70">
        <f>PnL(($D$7*(1+V$2)),$E70,(RiskSlide!$A$7),($G70+V$3),((RiskSlide!$A$10)/260),$C70,$B70,RiskSlide!$H99)</f>
        <v>0</v>
      </c>
      <c r="W70">
        <f>PnL(($D$7*(1+W$2)),$E70,(RiskSlide!$A$7),($G70+W$3),((RiskSlide!$A$10)/260),$C70,$B70,RiskSlide!$H99)</f>
        <v>0</v>
      </c>
      <c r="X70">
        <f>PnL(($D$7*(1+X$2)),$E70,(RiskSlide!$A$7),($G70+X$3),((RiskSlide!$A$10)/260),$C70,$B70,RiskSlide!$H99)</f>
        <v>0</v>
      </c>
      <c r="Y70">
        <f>PnL(($D$7*(1+Y$2)),$E70,(RiskSlide!$A$7),($G70+Y$3),((RiskSlide!$A$10)/260),$C70,$B70,RiskSlide!$H99)</f>
        <v>0</v>
      </c>
      <c r="Z70">
        <f>PnL(($D$7*(1+Z$2)),$E70,(RiskSlide!$A$7),($G70+Z$3),((RiskSlide!$A$10)/260),$C70,$B70,RiskSlide!$H99)</f>
        <v>0</v>
      </c>
      <c r="AA70">
        <f>PnL(($D$7*(1+AA$2)),$E70,(RiskSlide!$A$7),($G70+AA$3),((RiskSlide!$A$10)/260),$C70,$B70,RiskSlide!$H99)</f>
        <v>0</v>
      </c>
      <c r="AB70">
        <f>PnL(($D$7*(1+AB$2)),$E70,(RiskSlide!$A$7),($G70+AB$3),((RiskSlide!$A$10)/260),$C70,$B70,RiskSlide!$H99)</f>
        <v>0</v>
      </c>
      <c r="AC70">
        <f>PnL(($D$7*(1+AC$2)),$E70,(RiskSlide!$A$7),($G70+AC$3),((RiskSlide!$A$10)/260),$C70,$B70,RiskSlide!$H99)</f>
        <v>0</v>
      </c>
      <c r="AD70">
        <f>PnL(($D$7*(1+AD$2)),$E70,(RiskSlide!$A$7),($G70+AD$3),((RiskSlide!$A$10)/260),$C70,$B70,RiskSlide!$H99)</f>
        <v>0</v>
      </c>
      <c r="AE70">
        <f>PnL(($D$7*(1+AE$2)),$E70,(RiskSlide!$A$7),($G70+AE$3),((RiskSlide!$A$10)/260),$C70,$B70,RiskSlide!$H99)</f>
        <v>0</v>
      </c>
      <c r="AF70">
        <f>PnL(($D$7*(1+AF$2)),$E70,(RiskSlide!$A$7),($G70+AF$3),((RiskSlide!$A$10)/260),$C70,$B70,RiskSlide!$H99)</f>
        <v>0</v>
      </c>
      <c r="AG70">
        <f>PnL(($D$7*(1+AG$2)),$E70,(RiskSlide!$A$7),($G70+AG$3),((RiskSlide!$A$10)/260),$C70,$B70,RiskSlide!$H99)</f>
        <v>0</v>
      </c>
      <c r="AH70">
        <f>PnL(($D$7*(1+AH$2)),$E70,(RiskSlide!$A$7),($G70+AH$3),((RiskSlide!$A$10)/260),$C70,$B70,RiskSlide!$H99)</f>
        <v>0</v>
      </c>
      <c r="AI70">
        <f>PnL(($D$7*(1+AI$2)),$E70,(RiskSlide!$A$7),($G70+AI$3),((RiskSlide!$A$10)/260),$C70,$B70,RiskSlide!$H99)</f>
        <v>0</v>
      </c>
      <c r="AJ70">
        <f>PnL(($D$7*(1+AJ$2)),$E70,(RiskSlide!$A$7),($G70+AJ$3),((RiskSlide!$A$10)/260),$C70,$B70,RiskSlide!$H99)</f>
        <v>0</v>
      </c>
      <c r="AK70">
        <f>PnL(($D$7*(1+AK$2)),$E70,(RiskSlide!$A$7),($G70+AK$3),((RiskSlide!$A$10)/260),$C70,$B70,RiskSlide!$H99)</f>
        <v>0</v>
      </c>
      <c r="AL70">
        <f>PnL(($D$7*(1+AL$2)),$E70,(RiskSlide!$A$7),($G70+AL$3),((RiskSlide!$A$10)/260),$C70,$B70,RiskSlide!$H99)</f>
        <v>0</v>
      </c>
      <c r="AM70">
        <f>PnL(($D$7*(1+AM$2)),$E70,(RiskSlide!$A$7),($G70+AM$3),((RiskSlide!$A$10)/260),$C70,$B70,RiskSlide!$H99)</f>
        <v>0</v>
      </c>
      <c r="AN70">
        <f>PnL(($D$7*(1+AN$2)),$E70,(RiskSlide!$A$7),($G70+AN$3),((RiskSlide!$A$10)/260),$C70,$B70,RiskSlide!$H99)</f>
        <v>0</v>
      </c>
      <c r="AO70">
        <f>PnL(($D$7*(1+AO$2)),$E70,(RiskSlide!$A$7),($G70+AO$3),((RiskSlide!$A$10)/260),$C70,$B70,RiskSlide!$H99)</f>
        <v>0</v>
      </c>
      <c r="AP70">
        <f>PnL(($D$7*(1+AP$2)),$E70,(RiskSlide!$A$7),($G70+AP$3),((RiskSlide!$A$10)/260),$C70,$B70,RiskSlide!$H99)</f>
        <v>0</v>
      </c>
      <c r="AQ70">
        <f>PnL(($D$7*(1+AQ$2)),$E70,(RiskSlide!$A$7),($G70+AQ$3),((RiskSlide!$A$10)/260),$C70,$B70,RiskSlide!$H99)</f>
        <v>0</v>
      </c>
      <c r="AR70">
        <f>PnL(($D$7*(1+AR$2)),$E70,(RiskSlide!$A$7),($G70+AR$3),((RiskSlide!$A$10)/260),$C70,$B70,RiskSlide!$H99)</f>
        <v>0</v>
      </c>
      <c r="AS70">
        <f>PnL(($D$7*(1+AS$2)),$E70,(RiskSlide!$A$7),($G70+AS$3),((RiskSlide!$A$10)/260),$C70,$B70,RiskSlide!$H99)</f>
        <v>0</v>
      </c>
      <c r="AT70">
        <f>PnL(($D$7*(1+AT$2)),$E70,(RiskSlide!$A$7),($G70+AT$3),((RiskSlide!$A$10)/260),$C70,$B70,RiskSlide!$H99)</f>
        <v>0</v>
      </c>
      <c r="AU70">
        <f>PnL(($D$7*(1+AU$2)),$E70,(RiskSlide!$A$7),($G70+AU$3),((RiskSlide!$A$10)/260),$C70,$B70,RiskSlide!$H99)</f>
        <v>0</v>
      </c>
      <c r="AV70">
        <f>PnL(($D$7*(1+AV$2)),$E70,(RiskSlide!$A$7),($G70+AV$3),((RiskSlide!$A$10)/260),$C70,$B70,RiskSlide!$H99)</f>
        <v>0</v>
      </c>
      <c r="AW70">
        <f>PnL(($D$7*(1+AW$2)),$E70,(RiskSlide!$A$7),($G70+AW$3),((RiskSlide!$A$10)/260),$C70,$B70,RiskSlide!$H99)</f>
        <v>0</v>
      </c>
      <c r="AX70">
        <f>PnL(($D$7*(1+AX$2)),$E70,(RiskSlide!$A$7),($G70+AX$3),((RiskSlide!$A$10)/260),$C70,$B70,RiskSlide!$H99)</f>
        <v>0</v>
      </c>
      <c r="AY70">
        <f>PnL(($D$7*(1+AY$2)),$E70,(RiskSlide!$A$7),($G70+AY$3),((RiskSlide!$A$10)/260),$C70,$B70,RiskSlide!$H99)</f>
        <v>0</v>
      </c>
      <c r="AZ70">
        <f>PnL(($D$7*(1+AZ$2)),$E70,(RiskSlide!$A$7),($G70+AZ$3),((RiskSlide!$A$10)/260),$C70,$B70,RiskSlide!$H99)</f>
        <v>0</v>
      </c>
      <c r="BA70">
        <f>PnL(($D$7*(1+BA$2)),$E70,(RiskSlide!$A$7),($G70+BA$3),((RiskSlide!$A$10)/260),$C70,$B70,RiskSlide!$H99)</f>
        <v>0</v>
      </c>
      <c r="BB70">
        <f>PnL(($D$7*(1+BB$2)),$E70,(RiskSlide!$A$7),($G70+BB$3),((RiskSlide!$A$10)/260),$C70,$B70,RiskSlide!$H99)</f>
        <v>0</v>
      </c>
      <c r="BC70">
        <f>PnL(($D$7*(1+BC$2)),$E70,(RiskSlide!$A$7),($G70+BC$3),((RiskSlide!$A$10)/260),$C70,$B70,RiskSlide!$H99)</f>
        <v>0</v>
      </c>
      <c r="BD70">
        <f>PnL(($D$7*(1+BD$2)),$E70,(RiskSlide!$A$7),($G70+BD$3),((RiskSlide!$A$10)/260),$C70,$B70,RiskSlide!$H99)</f>
        <v>0</v>
      </c>
      <c r="BE70">
        <f>PnL(($D$7*(1+BE$2)),$E70,(RiskSlide!$A$7),($G70+BE$3),((RiskSlide!$A$10)/260),$C70,$B70,RiskSlide!$H99)</f>
        <v>0</v>
      </c>
      <c r="BF70">
        <f>PnL(($D$7*(1+BF$2)),$E70,(RiskSlide!$A$7),($G70+BF$3),((RiskSlide!$A$10)/260),$C70,$B70,RiskSlide!$H99)</f>
        <v>0</v>
      </c>
      <c r="BG70">
        <f>PnL(($D$7*(1+BG$2)),$E70,(RiskSlide!$A$7),($G70+BG$3),((RiskSlide!$A$10)/260),$C70,$B70,RiskSlide!$H99)</f>
        <v>0</v>
      </c>
      <c r="BH70">
        <f>PnL(($D$7*(1+BH$2)),$E70,(RiskSlide!$A$7),($G70+BH$3),((RiskSlide!$A$10)/260),$C70,$B70,RiskSlide!$H99)</f>
        <v>0</v>
      </c>
      <c r="BI70">
        <f>PnL(($D$7*(1+BI$2)),$E70,(RiskSlide!$A$7),($G70+BI$3),((RiskSlide!$A$10)/260),$C70,$B70,RiskSlide!$H99)</f>
        <v>0</v>
      </c>
      <c r="BJ70">
        <f>PnL(($D$7*(1+BJ$2)),$E70,(RiskSlide!$A$7),($G70+BJ$3),((RiskSlide!$A$10)/260),$C70,$B70,RiskSlide!$H99)</f>
        <v>0</v>
      </c>
      <c r="BK70">
        <f>PnL(($D$7*(1+BK$2)),$E70,(RiskSlide!$A$7),($G70+BK$3),((RiskSlide!$A$10)/260),$C70,$B70,RiskSlide!$H99)</f>
        <v>0</v>
      </c>
      <c r="BL70">
        <f>PnL(($D$7*(1+BL$2)),$E70,(RiskSlide!$A$7),($G70+BL$3),((RiskSlide!$A$10)/260),$C70,$B70,RiskSlide!$H99)</f>
        <v>0</v>
      </c>
      <c r="BM70">
        <f>PnL(($D$7*(1+BM$2)),$E70,(RiskSlide!$A$7),($G70+BM$3),((RiskSlide!$A$10)/260),$C70,$B70,RiskSlide!$H99)</f>
        <v>0</v>
      </c>
      <c r="BN70">
        <f>PnL(($D$7*(1+BN$2)),$E70,(RiskSlide!$A$7),($G70+BN$3),((RiskSlide!$A$10)/260),$C70,$B70,RiskSlide!$H99)</f>
        <v>0</v>
      </c>
      <c r="BO70">
        <f>PnL(($D$7*(1+BO$2)),$E70,(RiskSlide!$A$7),($G70+BO$3),((RiskSlide!$A$10)/260),$C70,$B70,RiskSlide!$H99)</f>
        <v>0</v>
      </c>
      <c r="BP70">
        <f>PnL(($D$7*(1+BP$2)),$E70,(RiskSlide!$A$7),($G70+BP$3),((RiskSlide!$A$10)/260),$C70,$B70,RiskSlide!$H99)</f>
        <v>0</v>
      </c>
      <c r="BQ70">
        <f>PnL(($D$7*(1+BQ$2)),$E70,(RiskSlide!$A$7),($G70+BQ$3),((RiskSlide!$A$10)/260),$C70,$B70,RiskSlide!$H99)</f>
        <v>0</v>
      </c>
      <c r="BR70">
        <f>PnL(($D$7*(1+BR$2)),$E70,(RiskSlide!$A$7),($G70+BR$3),((RiskSlide!$A$10)/260),$C70,$B70,RiskSlide!$H99)</f>
        <v>0</v>
      </c>
      <c r="BS70">
        <f>PnL(($D$7*(1+BS$2)),$E70,(RiskSlide!$A$7),($G70+BS$3),((RiskSlide!$A$10)/260),$C70,$B70,RiskSlide!$H99)</f>
        <v>0</v>
      </c>
      <c r="BT70">
        <f>PnL(($D$7*(1+BT$2)),$E70,(RiskSlide!$A$7),($G70+BT$3),((RiskSlide!$A$10)/260),$C70,$B70,RiskSlide!$H99)</f>
        <v>0</v>
      </c>
      <c r="BU70">
        <f>PnL(($D$7*(1+BU$2)),$E70,(RiskSlide!$A$7),($G70+BU$3),((RiskSlide!$A$10)/260),$C70,$B70,RiskSlide!$H99)</f>
        <v>0</v>
      </c>
      <c r="BV70">
        <f>PnL(($D$7*(1+BV$2)),$E70,(RiskSlide!$A$7),($G70+BV$3),((RiskSlide!$A$10)/260),$C70,$B70,RiskSlide!$H99)</f>
        <v>0</v>
      </c>
      <c r="BW70">
        <f>PnL(($D$7*(1+BW$2)),$E70,(RiskSlide!$A$7),($G70+BW$3),((RiskSlide!$A$10)/260),$C70,$B70,RiskSlide!$H99)</f>
        <v>0</v>
      </c>
      <c r="BX70">
        <f>PnL(($D$7*(1+BX$2)),$E70,(RiskSlide!$A$7),($G70+BX$3),((RiskSlide!$A$10)/260),$C70,$B70,RiskSlide!$H99)</f>
        <v>0</v>
      </c>
      <c r="BY70">
        <f>PnL(($D$7*(1+BY$2)),$E70,(RiskSlide!$A$7),($G70+BY$3),((RiskSlide!$A$10)/260),$C70,$B70,RiskSlide!$H99)</f>
        <v>0</v>
      </c>
      <c r="BZ70">
        <f>PnL(($D$7*(1+BZ$2)),$E70,(RiskSlide!$A$7),($G70+BZ$3),((RiskSlide!$A$10)/260),$C70,$B70,RiskSlide!$H99)</f>
        <v>0</v>
      </c>
      <c r="CA70">
        <f>PnL(($D$7*(1+CA$2)),$E70,(RiskSlide!$A$7),($G70+CA$3),((RiskSlide!$A$10)/260),$C70,$B70,RiskSlide!$H99)</f>
        <v>0</v>
      </c>
      <c r="CB70">
        <f>PnL(($D$7*(1+CB$2)),$E70,(RiskSlide!$A$7),($G70+CB$3),((RiskSlide!$A$10)/260),$C70,$B70,RiskSlide!$H99)</f>
        <v>0</v>
      </c>
      <c r="CC70">
        <f>PnL(($D$7*(1+CC$2)),$E70,(RiskSlide!$A$7),($G70+CC$3),((RiskSlide!$A$10)/260),$C70,$B70,RiskSlide!$H99)</f>
        <v>0</v>
      </c>
      <c r="CD70">
        <f>PnL(($D$7*(1+CD$2)),$E70,(RiskSlide!$A$7),($G70+CD$3),((RiskSlide!$A$10)/260),$C70,$B70,RiskSlide!$H99)</f>
        <v>0</v>
      </c>
      <c r="CE70">
        <f>PnL(($D$7*(1+CE$2)),$E70,(RiskSlide!$A$7),($G70+CE$3),((RiskSlide!$A$10)/260),$C70,$B70,RiskSlide!$H99)</f>
        <v>0</v>
      </c>
      <c r="CF70">
        <f>PnL(($D$7*(1+CF$2)),$E70,(RiskSlide!$A$7),($G70+CF$3),((RiskSlide!$A$10)/260),$C70,$B70,RiskSlide!$H99)</f>
        <v>0</v>
      </c>
      <c r="CG70">
        <f>PnL(($D$7*(1+CG$2)),$E70,(RiskSlide!$A$7),($G70+CG$3),((RiskSlide!$A$10)/260),$C70,$B70,RiskSlide!$H99)</f>
        <v>0</v>
      </c>
      <c r="CH70">
        <f>PnL(($D$7*(1+CH$2)),$E70,(RiskSlide!$A$7),($G70+CH$3),((RiskSlide!$A$10)/260),$C70,$B70,RiskSlide!$H99)</f>
        <v>0</v>
      </c>
      <c r="CI70">
        <f>PnL(($D$7*(1+CI$2)),$E70,(RiskSlide!$A$7),($G70+CI$3),((RiskSlide!$A$10)/260),$C70,$B70,RiskSlide!$H99)</f>
        <v>0</v>
      </c>
      <c r="CJ70">
        <f>PnL(($D$7*(1+CJ$2)),$E70,(RiskSlide!$A$7),($G70+CJ$3),((RiskSlide!$A$10)/260),$C70,$B70,RiskSlide!$H99)</f>
        <v>0</v>
      </c>
      <c r="CK70">
        <f>PnL(($D$7*(1+CK$2)),$E70,(RiskSlide!$A$7),($G70+CK$3),((RiskSlide!$A$10)/260),$C70,$B70,RiskSlide!$H99)</f>
        <v>0</v>
      </c>
      <c r="CL70">
        <f>PnL(($D$7*(1+CL$2)),$E70,(RiskSlide!$A$7),($G70+CL$3),((RiskSlide!$A$10)/260),$C70,$B70,RiskSlide!$H99)</f>
        <v>0</v>
      </c>
      <c r="CM70">
        <f>PnL(($D$7*(1+CM$2)),$E70,(RiskSlide!$A$7),($G70+CM$3),((RiskSlide!$A$10)/260),$C70,$B70,RiskSlide!$H99)</f>
        <v>0</v>
      </c>
    </row>
    <row r="71" spans="1:91" x14ac:dyDescent="0.25">
      <c r="A71" t="s">
        <v>66</v>
      </c>
      <c r="B71">
        <v>0</v>
      </c>
      <c r="C71">
        <v>1</v>
      </c>
      <c r="E71">
        <v>1865</v>
      </c>
      <c r="F71">
        <v>3.5000000000000001E-3</v>
      </c>
      <c r="G71">
        <v>0.147481</v>
      </c>
      <c r="K71">
        <f>PnL(($D$7*(1+K$2)),$E71,(RiskSlide!$A$7),($G71+K$3),((RiskSlide!$A$10)/260),$C71,$B71,RiskSlide!$H100)</f>
        <v>0</v>
      </c>
      <c r="L71">
        <f>PnL(($D$7*(1+L$2)),$E71,(RiskSlide!$A$7),($G71+L$3),((RiskSlide!$A$10)/260),$C71,$B71,RiskSlide!$H100)</f>
        <v>0</v>
      </c>
      <c r="M71">
        <f>PnL(($D$7*(1+M$2)),$E71,(RiskSlide!$A$7),($G71+M$3),((RiskSlide!$A$10)/260),$C71,$B71,RiskSlide!$H100)</f>
        <v>0</v>
      </c>
      <c r="N71">
        <f>PnL(($D$7*(1+N$2)),$E71,(RiskSlide!$A$7),($G71+N$3),((RiskSlide!$A$10)/260),$C71,$B71,RiskSlide!$H100)</f>
        <v>0</v>
      </c>
      <c r="O71">
        <f>PnL(($D$7*(1+O$2)),$E71,(RiskSlide!$A$7),($G71+O$3),((RiskSlide!$A$10)/260),$C71,$B71,RiskSlide!$H100)</f>
        <v>0</v>
      </c>
      <c r="P71">
        <f>PnL(($D$7*(1+P$2)),$E71,(RiskSlide!$A$7),($G71+P$3),((RiskSlide!$A$10)/260),$C71,$B71,RiskSlide!$H100)</f>
        <v>0</v>
      </c>
      <c r="Q71">
        <f>PnL(($D$7*(1+Q$2)),$E71,(RiskSlide!$A$7),($G71+Q$3),((RiskSlide!$A$10)/260),$C71,$B71,RiskSlide!$H100)</f>
        <v>0</v>
      </c>
      <c r="R71">
        <f>PnL(($D$7*(1+R$2)),$E71,(RiskSlide!$A$7),($G71+R$3),((RiskSlide!$A$10)/260),$C71,$B71,RiskSlide!$H100)</f>
        <v>0</v>
      </c>
      <c r="S71">
        <f>PnL(($D$7*(1+S$2)),$E71,(RiskSlide!$A$7),($G71+S$3),((RiskSlide!$A$10)/260),$C71,$B71,RiskSlide!$H100)</f>
        <v>0</v>
      </c>
      <c r="T71">
        <f>PnL(($D$7*(1+T$2)),$E71,(RiskSlide!$A$7),($G71+T$3),((RiskSlide!$A$10)/260),$C71,$B71,RiskSlide!$H100)</f>
        <v>0</v>
      </c>
      <c r="U71">
        <f>PnL(($D$7*(1+U$2)),$E71,(RiskSlide!$A$7),($G71+U$3),((RiskSlide!$A$10)/260),$C71,$B71,RiskSlide!$H100)</f>
        <v>0</v>
      </c>
      <c r="V71">
        <f>PnL(($D$7*(1+V$2)),$E71,(RiskSlide!$A$7),($G71+V$3),((RiskSlide!$A$10)/260),$C71,$B71,RiskSlide!$H100)</f>
        <v>0</v>
      </c>
      <c r="W71">
        <f>PnL(($D$7*(1+W$2)),$E71,(RiskSlide!$A$7),($G71+W$3),((RiskSlide!$A$10)/260),$C71,$B71,RiskSlide!$H100)</f>
        <v>0</v>
      </c>
      <c r="X71">
        <f>PnL(($D$7*(1+X$2)),$E71,(RiskSlide!$A$7),($G71+X$3),((RiskSlide!$A$10)/260),$C71,$B71,RiskSlide!$H100)</f>
        <v>0</v>
      </c>
      <c r="Y71">
        <f>PnL(($D$7*(1+Y$2)),$E71,(RiskSlide!$A$7),($G71+Y$3),((RiskSlide!$A$10)/260),$C71,$B71,RiskSlide!$H100)</f>
        <v>0</v>
      </c>
      <c r="Z71">
        <f>PnL(($D$7*(1+Z$2)),$E71,(RiskSlide!$A$7),($G71+Z$3),((RiskSlide!$A$10)/260),$C71,$B71,RiskSlide!$H100)</f>
        <v>0</v>
      </c>
      <c r="AA71">
        <f>PnL(($D$7*(1+AA$2)),$E71,(RiskSlide!$A$7),($G71+AA$3),((RiskSlide!$A$10)/260),$C71,$B71,RiskSlide!$H100)</f>
        <v>0</v>
      </c>
      <c r="AB71">
        <f>PnL(($D$7*(1+AB$2)),$E71,(RiskSlide!$A$7),($G71+AB$3),((RiskSlide!$A$10)/260),$C71,$B71,RiskSlide!$H100)</f>
        <v>0</v>
      </c>
      <c r="AC71">
        <f>PnL(($D$7*(1+AC$2)),$E71,(RiskSlide!$A$7),($G71+AC$3),((RiskSlide!$A$10)/260),$C71,$B71,RiskSlide!$H100)</f>
        <v>0</v>
      </c>
      <c r="AD71">
        <f>PnL(($D$7*(1+AD$2)),$E71,(RiskSlide!$A$7),($G71+AD$3),((RiskSlide!$A$10)/260),$C71,$B71,RiskSlide!$H100)</f>
        <v>0</v>
      </c>
      <c r="AE71">
        <f>PnL(($D$7*(1+AE$2)),$E71,(RiskSlide!$A$7),($G71+AE$3),((RiskSlide!$A$10)/260),$C71,$B71,RiskSlide!$H100)</f>
        <v>0</v>
      </c>
      <c r="AF71">
        <f>PnL(($D$7*(1+AF$2)),$E71,(RiskSlide!$A$7),($G71+AF$3),((RiskSlide!$A$10)/260),$C71,$B71,RiskSlide!$H100)</f>
        <v>0</v>
      </c>
      <c r="AG71">
        <f>PnL(($D$7*(1+AG$2)),$E71,(RiskSlide!$A$7),($G71+AG$3),((RiskSlide!$A$10)/260),$C71,$B71,RiskSlide!$H100)</f>
        <v>0</v>
      </c>
      <c r="AH71">
        <f>PnL(($D$7*(1+AH$2)),$E71,(RiskSlide!$A$7),($G71+AH$3),((RiskSlide!$A$10)/260),$C71,$B71,RiskSlide!$H100)</f>
        <v>0</v>
      </c>
      <c r="AI71">
        <f>PnL(($D$7*(1+AI$2)),$E71,(RiskSlide!$A$7),($G71+AI$3),((RiskSlide!$A$10)/260),$C71,$B71,RiskSlide!$H100)</f>
        <v>0</v>
      </c>
      <c r="AJ71">
        <f>PnL(($D$7*(1+AJ$2)),$E71,(RiskSlide!$A$7),($G71+AJ$3),((RiskSlide!$A$10)/260),$C71,$B71,RiskSlide!$H100)</f>
        <v>0</v>
      </c>
      <c r="AK71">
        <f>PnL(($D$7*(1+AK$2)),$E71,(RiskSlide!$A$7),($G71+AK$3),((RiskSlide!$A$10)/260),$C71,$B71,RiskSlide!$H100)</f>
        <v>0</v>
      </c>
      <c r="AL71">
        <f>PnL(($D$7*(1+AL$2)),$E71,(RiskSlide!$A$7),($G71+AL$3),((RiskSlide!$A$10)/260),$C71,$B71,RiskSlide!$H100)</f>
        <v>0</v>
      </c>
      <c r="AM71">
        <f>PnL(($D$7*(1+AM$2)),$E71,(RiskSlide!$A$7),($G71+AM$3),((RiskSlide!$A$10)/260),$C71,$B71,RiskSlide!$H100)</f>
        <v>0</v>
      </c>
      <c r="AN71">
        <f>PnL(($D$7*(1+AN$2)),$E71,(RiskSlide!$A$7),($G71+AN$3),((RiskSlide!$A$10)/260),$C71,$B71,RiskSlide!$H100)</f>
        <v>0</v>
      </c>
      <c r="AO71">
        <f>PnL(($D$7*(1+AO$2)),$E71,(RiskSlide!$A$7),($G71+AO$3),((RiskSlide!$A$10)/260),$C71,$B71,RiskSlide!$H100)</f>
        <v>0</v>
      </c>
      <c r="AP71">
        <f>PnL(($D$7*(1+AP$2)),$E71,(RiskSlide!$A$7),($G71+AP$3),((RiskSlide!$A$10)/260),$C71,$B71,RiskSlide!$H100)</f>
        <v>0</v>
      </c>
      <c r="AQ71">
        <f>PnL(($D$7*(1+AQ$2)),$E71,(RiskSlide!$A$7),($G71+AQ$3),((RiskSlide!$A$10)/260),$C71,$B71,RiskSlide!$H100)</f>
        <v>0</v>
      </c>
      <c r="AR71">
        <f>PnL(($D$7*(1+AR$2)),$E71,(RiskSlide!$A$7),($G71+AR$3),((RiskSlide!$A$10)/260),$C71,$B71,RiskSlide!$H100)</f>
        <v>0</v>
      </c>
      <c r="AS71">
        <f>PnL(($D$7*(1+AS$2)),$E71,(RiskSlide!$A$7),($G71+AS$3),((RiskSlide!$A$10)/260),$C71,$B71,RiskSlide!$H100)</f>
        <v>0</v>
      </c>
      <c r="AT71">
        <f>PnL(($D$7*(1+AT$2)),$E71,(RiskSlide!$A$7),($G71+AT$3),((RiskSlide!$A$10)/260),$C71,$B71,RiskSlide!$H100)</f>
        <v>0</v>
      </c>
      <c r="AU71">
        <f>PnL(($D$7*(1+AU$2)),$E71,(RiskSlide!$A$7),($G71+AU$3),((RiskSlide!$A$10)/260),$C71,$B71,RiskSlide!$H100)</f>
        <v>0</v>
      </c>
      <c r="AV71">
        <f>PnL(($D$7*(1+AV$2)),$E71,(RiskSlide!$A$7),($G71+AV$3),((RiskSlide!$A$10)/260),$C71,$B71,RiskSlide!$H100)</f>
        <v>0</v>
      </c>
      <c r="AW71">
        <f>PnL(($D$7*(1+AW$2)),$E71,(RiskSlide!$A$7),($G71+AW$3),((RiskSlide!$A$10)/260),$C71,$B71,RiskSlide!$H100)</f>
        <v>0</v>
      </c>
      <c r="AX71">
        <f>PnL(($D$7*(1+AX$2)),$E71,(RiskSlide!$A$7),($G71+AX$3),((RiskSlide!$A$10)/260),$C71,$B71,RiskSlide!$H100)</f>
        <v>0</v>
      </c>
      <c r="AY71">
        <f>PnL(($D$7*(1+AY$2)),$E71,(RiskSlide!$A$7),($G71+AY$3),((RiskSlide!$A$10)/260),$C71,$B71,RiskSlide!$H100)</f>
        <v>0</v>
      </c>
      <c r="AZ71">
        <f>PnL(($D$7*(1+AZ$2)),$E71,(RiskSlide!$A$7),($G71+AZ$3),((RiskSlide!$A$10)/260),$C71,$B71,RiskSlide!$H100)</f>
        <v>0</v>
      </c>
      <c r="BA71">
        <f>PnL(($D$7*(1+BA$2)),$E71,(RiskSlide!$A$7),($G71+BA$3),((RiskSlide!$A$10)/260),$C71,$B71,RiskSlide!$H100)</f>
        <v>0</v>
      </c>
      <c r="BB71">
        <f>PnL(($D$7*(1+BB$2)),$E71,(RiskSlide!$A$7),($G71+BB$3),((RiskSlide!$A$10)/260),$C71,$B71,RiskSlide!$H100)</f>
        <v>0</v>
      </c>
      <c r="BC71">
        <f>PnL(($D$7*(1+BC$2)),$E71,(RiskSlide!$A$7),($G71+BC$3),((RiskSlide!$A$10)/260),$C71,$B71,RiskSlide!$H100)</f>
        <v>0</v>
      </c>
      <c r="BD71">
        <f>PnL(($D$7*(1+BD$2)),$E71,(RiskSlide!$A$7),($G71+BD$3),((RiskSlide!$A$10)/260),$C71,$B71,RiskSlide!$H100)</f>
        <v>0</v>
      </c>
      <c r="BE71">
        <f>PnL(($D$7*(1+BE$2)),$E71,(RiskSlide!$A$7),($G71+BE$3),((RiskSlide!$A$10)/260),$C71,$B71,RiskSlide!$H100)</f>
        <v>0</v>
      </c>
      <c r="BF71">
        <f>PnL(($D$7*(1+BF$2)),$E71,(RiskSlide!$A$7),($G71+BF$3),((RiskSlide!$A$10)/260),$C71,$B71,RiskSlide!$H100)</f>
        <v>0</v>
      </c>
      <c r="BG71">
        <f>PnL(($D$7*(1+BG$2)),$E71,(RiskSlide!$A$7),($G71+BG$3),((RiskSlide!$A$10)/260),$C71,$B71,RiskSlide!$H100)</f>
        <v>0</v>
      </c>
      <c r="BH71">
        <f>PnL(($D$7*(1+BH$2)),$E71,(RiskSlide!$A$7),($G71+BH$3),((RiskSlide!$A$10)/260),$C71,$B71,RiskSlide!$H100)</f>
        <v>0</v>
      </c>
      <c r="BI71">
        <f>PnL(($D$7*(1+BI$2)),$E71,(RiskSlide!$A$7),($G71+BI$3),((RiskSlide!$A$10)/260),$C71,$B71,RiskSlide!$H100)</f>
        <v>0</v>
      </c>
      <c r="BJ71">
        <f>PnL(($D$7*(1+BJ$2)),$E71,(RiskSlide!$A$7),($G71+BJ$3),((RiskSlide!$A$10)/260),$C71,$B71,RiskSlide!$H100)</f>
        <v>0</v>
      </c>
      <c r="BK71">
        <f>PnL(($D$7*(1+BK$2)),$E71,(RiskSlide!$A$7),($G71+BK$3),((RiskSlide!$A$10)/260),$C71,$B71,RiskSlide!$H100)</f>
        <v>0</v>
      </c>
      <c r="BL71">
        <f>PnL(($D$7*(1+BL$2)),$E71,(RiskSlide!$A$7),($G71+BL$3),((RiskSlide!$A$10)/260),$C71,$B71,RiskSlide!$H100)</f>
        <v>0</v>
      </c>
      <c r="BM71">
        <f>PnL(($D$7*(1+BM$2)),$E71,(RiskSlide!$A$7),($G71+BM$3),((RiskSlide!$A$10)/260),$C71,$B71,RiskSlide!$H100)</f>
        <v>0</v>
      </c>
      <c r="BN71">
        <f>PnL(($D$7*(1+BN$2)),$E71,(RiskSlide!$A$7),($G71+BN$3),((RiskSlide!$A$10)/260),$C71,$B71,RiskSlide!$H100)</f>
        <v>0</v>
      </c>
      <c r="BO71">
        <f>PnL(($D$7*(1+BO$2)),$E71,(RiskSlide!$A$7),($G71+BO$3),((RiskSlide!$A$10)/260),$C71,$B71,RiskSlide!$H100)</f>
        <v>0</v>
      </c>
      <c r="BP71">
        <f>PnL(($D$7*(1+BP$2)),$E71,(RiskSlide!$A$7),($G71+BP$3),((RiskSlide!$A$10)/260),$C71,$B71,RiskSlide!$H100)</f>
        <v>0</v>
      </c>
      <c r="BQ71">
        <f>PnL(($D$7*(1+BQ$2)),$E71,(RiskSlide!$A$7),($G71+BQ$3),((RiskSlide!$A$10)/260),$C71,$B71,RiskSlide!$H100)</f>
        <v>0</v>
      </c>
      <c r="BR71">
        <f>PnL(($D$7*(1+BR$2)),$E71,(RiskSlide!$A$7),($G71+BR$3),((RiskSlide!$A$10)/260),$C71,$B71,RiskSlide!$H100)</f>
        <v>0</v>
      </c>
      <c r="BS71">
        <f>PnL(($D$7*(1+BS$2)),$E71,(RiskSlide!$A$7),($G71+BS$3),((RiskSlide!$A$10)/260),$C71,$B71,RiskSlide!$H100)</f>
        <v>0</v>
      </c>
      <c r="BT71">
        <f>PnL(($D$7*(1+BT$2)),$E71,(RiskSlide!$A$7),($G71+BT$3),((RiskSlide!$A$10)/260),$C71,$B71,RiskSlide!$H100)</f>
        <v>0</v>
      </c>
      <c r="BU71">
        <f>PnL(($D$7*(1+BU$2)),$E71,(RiskSlide!$A$7),($G71+BU$3),((RiskSlide!$A$10)/260),$C71,$B71,RiskSlide!$H100)</f>
        <v>0</v>
      </c>
      <c r="BV71">
        <f>PnL(($D$7*(1+BV$2)),$E71,(RiskSlide!$A$7),($G71+BV$3),((RiskSlide!$A$10)/260),$C71,$B71,RiskSlide!$H100)</f>
        <v>0</v>
      </c>
      <c r="BW71">
        <f>PnL(($D$7*(1+BW$2)),$E71,(RiskSlide!$A$7),($G71+BW$3),((RiskSlide!$A$10)/260),$C71,$B71,RiskSlide!$H100)</f>
        <v>0</v>
      </c>
      <c r="BX71">
        <f>PnL(($D$7*(1+BX$2)),$E71,(RiskSlide!$A$7),($G71+BX$3),((RiskSlide!$A$10)/260),$C71,$B71,RiskSlide!$H100)</f>
        <v>0</v>
      </c>
      <c r="BY71">
        <f>PnL(($D$7*(1+BY$2)),$E71,(RiskSlide!$A$7),($G71+BY$3),((RiskSlide!$A$10)/260),$C71,$B71,RiskSlide!$H100)</f>
        <v>0</v>
      </c>
      <c r="BZ71">
        <f>PnL(($D$7*(1+BZ$2)),$E71,(RiskSlide!$A$7),($G71+BZ$3),((RiskSlide!$A$10)/260),$C71,$B71,RiskSlide!$H100)</f>
        <v>0</v>
      </c>
      <c r="CA71">
        <f>PnL(($D$7*(1+CA$2)),$E71,(RiskSlide!$A$7),($G71+CA$3),((RiskSlide!$A$10)/260),$C71,$B71,RiskSlide!$H100)</f>
        <v>0</v>
      </c>
      <c r="CB71">
        <f>PnL(($D$7*(1+CB$2)),$E71,(RiskSlide!$A$7),($G71+CB$3),((RiskSlide!$A$10)/260),$C71,$B71,RiskSlide!$H100)</f>
        <v>0</v>
      </c>
      <c r="CC71">
        <f>PnL(($D$7*(1+CC$2)),$E71,(RiskSlide!$A$7),($G71+CC$3),((RiskSlide!$A$10)/260),$C71,$B71,RiskSlide!$H100)</f>
        <v>0</v>
      </c>
      <c r="CD71">
        <f>PnL(($D$7*(1+CD$2)),$E71,(RiskSlide!$A$7),($G71+CD$3),((RiskSlide!$A$10)/260),$C71,$B71,RiskSlide!$H100)</f>
        <v>0</v>
      </c>
      <c r="CE71">
        <f>PnL(($D$7*(1+CE$2)),$E71,(RiskSlide!$A$7),($G71+CE$3),((RiskSlide!$A$10)/260),$C71,$B71,RiskSlide!$H100)</f>
        <v>0</v>
      </c>
      <c r="CF71">
        <f>PnL(($D$7*(1+CF$2)),$E71,(RiskSlide!$A$7),($G71+CF$3),((RiskSlide!$A$10)/260),$C71,$B71,RiskSlide!$H100)</f>
        <v>0</v>
      </c>
      <c r="CG71">
        <f>PnL(($D$7*(1+CG$2)),$E71,(RiskSlide!$A$7),($G71+CG$3),((RiskSlide!$A$10)/260),$C71,$B71,RiskSlide!$H100)</f>
        <v>0</v>
      </c>
      <c r="CH71">
        <f>PnL(($D$7*(1+CH$2)),$E71,(RiskSlide!$A$7),($G71+CH$3),((RiskSlide!$A$10)/260),$C71,$B71,RiskSlide!$H100)</f>
        <v>0</v>
      </c>
      <c r="CI71">
        <f>PnL(($D$7*(1+CI$2)),$E71,(RiskSlide!$A$7),($G71+CI$3),((RiskSlide!$A$10)/260),$C71,$B71,RiskSlide!$H100)</f>
        <v>0</v>
      </c>
      <c r="CJ71">
        <f>PnL(($D$7*(1+CJ$2)),$E71,(RiskSlide!$A$7),($G71+CJ$3),((RiskSlide!$A$10)/260),$C71,$B71,RiskSlide!$H100)</f>
        <v>0</v>
      </c>
      <c r="CK71">
        <f>PnL(($D$7*(1+CK$2)),$E71,(RiskSlide!$A$7),($G71+CK$3),((RiskSlide!$A$10)/260),$C71,$B71,RiskSlide!$H100)</f>
        <v>0</v>
      </c>
      <c r="CL71">
        <f>PnL(($D$7*(1+CL$2)),$E71,(RiskSlide!$A$7),($G71+CL$3),((RiskSlide!$A$10)/260),$C71,$B71,RiskSlide!$H100)</f>
        <v>0</v>
      </c>
      <c r="CM71">
        <f>PnL(($D$7*(1+CM$2)),$E71,(RiskSlide!$A$7),($G71+CM$3),((RiskSlide!$A$10)/260),$C71,$B71,RiskSlide!$H100)</f>
        <v>0</v>
      </c>
    </row>
    <row r="72" spans="1:91" x14ac:dyDescent="0.25">
      <c r="A72" t="s">
        <v>67</v>
      </c>
      <c r="B72">
        <v>0</v>
      </c>
      <c r="C72">
        <v>1</v>
      </c>
      <c r="E72">
        <v>1870</v>
      </c>
      <c r="F72">
        <v>3.5000000000000001E-3</v>
      </c>
      <c r="G72">
        <v>0.15620200000000001</v>
      </c>
      <c r="K72">
        <f>PnL(($D$7*(1+K$2)),$E72,(RiskSlide!$A$7),($G72+K$3),((RiskSlide!$A$10)/260),$C72,$B72,RiskSlide!$H101)</f>
        <v>0</v>
      </c>
      <c r="L72">
        <f>PnL(($D$7*(1+L$2)),$E72,(RiskSlide!$A$7),($G72+L$3),((RiskSlide!$A$10)/260),$C72,$B72,RiskSlide!$H101)</f>
        <v>0</v>
      </c>
      <c r="M72">
        <f>PnL(($D$7*(1+M$2)),$E72,(RiskSlide!$A$7),($G72+M$3),((RiskSlide!$A$10)/260),$C72,$B72,RiskSlide!$H101)</f>
        <v>0</v>
      </c>
      <c r="N72">
        <f>PnL(($D$7*(1+N$2)),$E72,(RiskSlide!$A$7),($G72+N$3),((RiskSlide!$A$10)/260),$C72,$B72,RiskSlide!$H101)</f>
        <v>0</v>
      </c>
      <c r="O72">
        <f>PnL(($D$7*(1+O$2)),$E72,(RiskSlide!$A$7),($G72+O$3),((RiskSlide!$A$10)/260),$C72,$B72,RiskSlide!$H101)</f>
        <v>0</v>
      </c>
      <c r="P72">
        <f>PnL(($D$7*(1+P$2)),$E72,(RiskSlide!$A$7),($G72+P$3),((RiskSlide!$A$10)/260),$C72,$B72,RiskSlide!$H101)</f>
        <v>0</v>
      </c>
      <c r="Q72">
        <f>PnL(($D$7*(1+Q$2)),$E72,(RiskSlide!$A$7),($G72+Q$3),((RiskSlide!$A$10)/260),$C72,$B72,RiskSlide!$H101)</f>
        <v>0</v>
      </c>
      <c r="R72">
        <f>PnL(($D$7*(1+R$2)),$E72,(RiskSlide!$A$7),($G72+R$3),((RiskSlide!$A$10)/260),$C72,$B72,RiskSlide!$H101)</f>
        <v>0</v>
      </c>
      <c r="S72">
        <f>PnL(($D$7*(1+S$2)),$E72,(RiskSlide!$A$7),($G72+S$3),((RiskSlide!$A$10)/260),$C72,$B72,RiskSlide!$H101)</f>
        <v>0</v>
      </c>
      <c r="T72">
        <f>PnL(($D$7*(1+T$2)),$E72,(RiskSlide!$A$7),($G72+T$3),((RiskSlide!$A$10)/260),$C72,$B72,RiskSlide!$H101)</f>
        <v>0</v>
      </c>
      <c r="U72">
        <f>PnL(($D$7*(1+U$2)),$E72,(RiskSlide!$A$7),($G72+U$3),((RiskSlide!$A$10)/260),$C72,$B72,RiskSlide!$H101)</f>
        <v>0</v>
      </c>
      <c r="V72">
        <f>PnL(($D$7*(1+V$2)),$E72,(RiskSlide!$A$7),($G72+V$3),((RiskSlide!$A$10)/260),$C72,$B72,RiskSlide!$H101)</f>
        <v>0</v>
      </c>
      <c r="W72">
        <f>PnL(($D$7*(1+W$2)),$E72,(RiskSlide!$A$7),($G72+W$3),((RiskSlide!$A$10)/260),$C72,$B72,RiskSlide!$H101)</f>
        <v>0</v>
      </c>
      <c r="X72">
        <f>PnL(($D$7*(1+X$2)),$E72,(RiskSlide!$A$7),($G72+X$3),((RiskSlide!$A$10)/260),$C72,$B72,RiskSlide!$H101)</f>
        <v>0</v>
      </c>
      <c r="Y72">
        <f>PnL(($D$7*(1+Y$2)),$E72,(RiskSlide!$A$7),($G72+Y$3),((RiskSlide!$A$10)/260),$C72,$B72,RiskSlide!$H101)</f>
        <v>0</v>
      </c>
      <c r="Z72">
        <f>PnL(($D$7*(1+Z$2)),$E72,(RiskSlide!$A$7),($G72+Z$3),((RiskSlide!$A$10)/260),$C72,$B72,RiskSlide!$H101)</f>
        <v>0</v>
      </c>
      <c r="AA72">
        <f>PnL(($D$7*(1+AA$2)),$E72,(RiskSlide!$A$7),($G72+AA$3),((RiskSlide!$A$10)/260),$C72,$B72,RiskSlide!$H101)</f>
        <v>0</v>
      </c>
      <c r="AB72">
        <f>PnL(($D$7*(1+AB$2)),$E72,(RiskSlide!$A$7),($G72+AB$3),((RiskSlide!$A$10)/260),$C72,$B72,RiskSlide!$H101)</f>
        <v>0</v>
      </c>
      <c r="AC72">
        <f>PnL(($D$7*(1+AC$2)),$E72,(RiskSlide!$A$7),($G72+AC$3),((RiskSlide!$A$10)/260),$C72,$B72,RiskSlide!$H101)</f>
        <v>0</v>
      </c>
      <c r="AD72">
        <f>PnL(($D$7*(1+AD$2)),$E72,(RiskSlide!$A$7),($G72+AD$3),((RiskSlide!$A$10)/260),$C72,$B72,RiskSlide!$H101)</f>
        <v>0</v>
      </c>
      <c r="AE72">
        <f>PnL(($D$7*(1+AE$2)),$E72,(RiskSlide!$A$7),($G72+AE$3),((RiskSlide!$A$10)/260),$C72,$B72,RiskSlide!$H101)</f>
        <v>0</v>
      </c>
      <c r="AF72">
        <f>PnL(($D$7*(1+AF$2)),$E72,(RiskSlide!$A$7),($G72+AF$3),((RiskSlide!$A$10)/260),$C72,$B72,RiskSlide!$H101)</f>
        <v>0</v>
      </c>
      <c r="AG72">
        <f>PnL(($D$7*(1+AG$2)),$E72,(RiskSlide!$A$7),($G72+AG$3),((RiskSlide!$A$10)/260),$C72,$B72,RiskSlide!$H101)</f>
        <v>0</v>
      </c>
      <c r="AH72">
        <f>PnL(($D$7*(1+AH$2)),$E72,(RiskSlide!$A$7),($G72+AH$3),((RiskSlide!$A$10)/260),$C72,$B72,RiskSlide!$H101)</f>
        <v>0</v>
      </c>
      <c r="AI72">
        <f>PnL(($D$7*(1+AI$2)),$E72,(RiskSlide!$A$7),($G72+AI$3),((RiskSlide!$A$10)/260),$C72,$B72,RiskSlide!$H101)</f>
        <v>0</v>
      </c>
      <c r="AJ72">
        <f>PnL(($D$7*(1+AJ$2)),$E72,(RiskSlide!$A$7),($G72+AJ$3),((RiskSlide!$A$10)/260),$C72,$B72,RiskSlide!$H101)</f>
        <v>0</v>
      </c>
      <c r="AK72">
        <f>PnL(($D$7*(1+AK$2)),$E72,(RiskSlide!$A$7),($G72+AK$3),((RiskSlide!$A$10)/260),$C72,$B72,RiskSlide!$H101)</f>
        <v>0</v>
      </c>
      <c r="AL72">
        <f>PnL(($D$7*(1+AL$2)),$E72,(RiskSlide!$A$7),($G72+AL$3),((RiskSlide!$A$10)/260),$C72,$B72,RiskSlide!$H101)</f>
        <v>0</v>
      </c>
      <c r="AM72">
        <f>PnL(($D$7*(1+AM$2)),$E72,(RiskSlide!$A$7),($G72+AM$3),((RiskSlide!$A$10)/260),$C72,$B72,RiskSlide!$H101)</f>
        <v>0</v>
      </c>
      <c r="AN72">
        <f>PnL(($D$7*(1+AN$2)),$E72,(RiskSlide!$A$7),($G72+AN$3),((RiskSlide!$A$10)/260),$C72,$B72,RiskSlide!$H101)</f>
        <v>0</v>
      </c>
      <c r="AO72">
        <f>PnL(($D$7*(1+AO$2)),$E72,(RiskSlide!$A$7),($G72+AO$3),((RiskSlide!$A$10)/260),$C72,$B72,RiskSlide!$H101)</f>
        <v>0</v>
      </c>
      <c r="AP72">
        <f>PnL(($D$7*(1+AP$2)),$E72,(RiskSlide!$A$7),($G72+AP$3),((RiskSlide!$A$10)/260),$C72,$B72,RiskSlide!$H101)</f>
        <v>0</v>
      </c>
      <c r="AQ72">
        <f>PnL(($D$7*(1+AQ$2)),$E72,(RiskSlide!$A$7),($G72+AQ$3),((RiskSlide!$A$10)/260),$C72,$B72,RiskSlide!$H101)</f>
        <v>0</v>
      </c>
      <c r="AR72">
        <f>PnL(($D$7*(1+AR$2)),$E72,(RiskSlide!$A$7),($G72+AR$3),((RiskSlide!$A$10)/260),$C72,$B72,RiskSlide!$H101)</f>
        <v>0</v>
      </c>
      <c r="AS72">
        <f>PnL(($D$7*(1+AS$2)),$E72,(RiskSlide!$A$7),($G72+AS$3),((RiskSlide!$A$10)/260),$C72,$B72,RiskSlide!$H101)</f>
        <v>0</v>
      </c>
      <c r="AT72">
        <f>PnL(($D$7*(1+AT$2)),$E72,(RiskSlide!$A$7),($G72+AT$3),((RiskSlide!$A$10)/260),$C72,$B72,RiskSlide!$H101)</f>
        <v>0</v>
      </c>
      <c r="AU72">
        <f>PnL(($D$7*(1+AU$2)),$E72,(RiskSlide!$A$7),($G72+AU$3),((RiskSlide!$A$10)/260),$C72,$B72,RiskSlide!$H101)</f>
        <v>0</v>
      </c>
      <c r="AV72">
        <f>PnL(($D$7*(1+AV$2)),$E72,(RiskSlide!$A$7),($G72+AV$3),((RiskSlide!$A$10)/260),$C72,$B72,RiskSlide!$H101)</f>
        <v>0</v>
      </c>
      <c r="AW72">
        <f>PnL(($D$7*(1+AW$2)),$E72,(RiskSlide!$A$7),($G72+AW$3),((RiskSlide!$A$10)/260),$C72,$B72,RiskSlide!$H101)</f>
        <v>0</v>
      </c>
      <c r="AX72">
        <f>PnL(($D$7*(1+AX$2)),$E72,(RiskSlide!$A$7),($G72+AX$3),((RiskSlide!$A$10)/260),$C72,$B72,RiskSlide!$H101)</f>
        <v>0</v>
      </c>
      <c r="AY72">
        <f>PnL(($D$7*(1+AY$2)),$E72,(RiskSlide!$A$7),($G72+AY$3),((RiskSlide!$A$10)/260),$C72,$B72,RiskSlide!$H101)</f>
        <v>0</v>
      </c>
      <c r="AZ72">
        <f>PnL(($D$7*(1+AZ$2)),$E72,(RiskSlide!$A$7),($G72+AZ$3),((RiskSlide!$A$10)/260),$C72,$B72,RiskSlide!$H101)</f>
        <v>0</v>
      </c>
      <c r="BA72">
        <f>PnL(($D$7*(1+BA$2)),$E72,(RiskSlide!$A$7),($G72+BA$3),((RiskSlide!$A$10)/260),$C72,$B72,RiskSlide!$H101)</f>
        <v>0</v>
      </c>
      <c r="BB72">
        <f>PnL(($D$7*(1+BB$2)),$E72,(RiskSlide!$A$7),($G72+BB$3),((RiskSlide!$A$10)/260),$C72,$B72,RiskSlide!$H101)</f>
        <v>0</v>
      </c>
      <c r="BC72">
        <f>PnL(($D$7*(1+BC$2)),$E72,(RiskSlide!$A$7),($G72+BC$3),((RiskSlide!$A$10)/260),$C72,$B72,RiskSlide!$H101)</f>
        <v>0</v>
      </c>
      <c r="BD72">
        <f>PnL(($D$7*(1+BD$2)),$E72,(RiskSlide!$A$7),($G72+BD$3),((RiskSlide!$A$10)/260),$C72,$B72,RiskSlide!$H101)</f>
        <v>0</v>
      </c>
      <c r="BE72">
        <f>PnL(($D$7*(1+BE$2)),$E72,(RiskSlide!$A$7),($G72+BE$3),((RiskSlide!$A$10)/260),$C72,$B72,RiskSlide!$H101)</f>
        <v>0</v>
      </c>
      <c r="BF72">
        <f>PnL(($D$7*(1+BF$2)),$E72,(RiskSlide!$A$7),($G72+BF$3),((RiskSlide!$A$10)/260),$C72,$B72,RiskSlide!$H101)</f>
        <v>0</v>
      </c>
      <c r="BG72">
        <f>PnL(($D$7*(1+BG$2)),$E72,(RiskSlide!$A$7),($G72+BG$3),((RiskSlide!$A$10)/260),$C72,$B72,RiskSlide!$H101)</f>
        <v>0</v>
      </c>
      <c r="BH72">
        <f>PnL(($D$7*(1+BH$2)),$E72,(RiskSlide!$A$7),($G72+BH$3),((RiskSlide!$A$10)/260),$C72,$B72,RiskSlide!$H101)</f>
        <v>0</v>
      </c>
      <c r="BI72">
        <f>PnL(($D$7*(1+BI$2)),$E72,(RiskSlide!$A$7),($G72+BI$3),((RiskSlide!$A$10)/260),$C72,$B72,RiskSlide!$H101)</f>
        <v>0</v>
      </c>
      <c r="BJ72">
        <f>PnL(($D$7*(1+BJ$2)),$E72,(RiskSlide!$A$7),($G72+BJ$3),((RiskSlide!$A$10)/260),$C72,$B72,RiskSlide!$H101)</f>
        <v>0</v>
      </c>
      <c r="BK72">
        <f>PnL(($D$7*(1+BK$2)),$E72,(RiskSlide!$A$7),($G72+BK$3),((RiskSlide!$A$10)/260),$C72,$B72,RiskSlide!$H101)</f>
        <v>0</v>
      </c>
      <c r="BL72">
        <f>PnL(($D$7*(1+BL$2)),$E72,(RiskSlide!$A$7),($G72+BL$3),((RiskSlide!$A$10)/260),$C72,$B72,RiskSlide!$H101)</f>
        <v>0</v>
      </c>
      <c r="BM72">
        <f>PnL(($D$7*(1+BM$2)),$E72,(RiskSlide!$A$7),($G72+BM$3),((RiskSlide!$A$10)/260),$C72,$B72,RiskSlide!$H101)</f>
        <v>0</v>
      </c>
      <c r="BN72">
        <f>PnL(($D$7*(1+BN$2)),$E72,(RiskSlide!$A$7),($G72+BN$3),((RiskSlide!$A$10)/260),$C72,$B72,RiskSlide!$H101)</f>
        <v>0</v>
      </c>
      <c r="BO72">
        <f>PnL(($D$7*(1+BO$2)),$E72,(RiskSlide!$A$7),($G72+BO$3),((RiskSlide!$A$10)/260),$C72,$B72,RiskSlide!$H101)</f>
        <v>0</v>
      </c>
      <c r="BP72">
        <f>PnL(($D$7*(1+BP$2)),$E72,(RiskSlide!$A$7),($G72+BP$3),((RiskSlide!$A$10)/260),$C72,$B72,RiskSlide!$H101)</f>
        <v>0</v>
      </c>
      <c r="BQ72">
        <f>PnL(($D$7*(1+BQ$2)),$E72,(RiskSlide!$A$7),($G72+BQ$3),((RiskSlide!$A$10)/260),$C72,$B72,RiskSlide!$H101)</f>
        <v>0</v>
      </c>
      <c r="BR72">
        <f>PnL(($D$7*(1+BR$2)),$E72,(RiskSlide!$A$7),($G72+BR$3),((RiskSlide!$A$10)/260),$C72,$B72,RiskSlide!$H101)</f>
        <v>0</v>
      </c>
      <c r="BS72">
        <f>PnL(($D$7*(1+BS$2)),$E72,(RiskSlide!$A$7),($G72+BS$3),((RiskSlide!$A$10)/260),$C72,$B72,RiskSlide!$H101)</f>
        <v>0</v>
      </c>
      <c r="BT72">
        <f>PnL(($D$7*(1+BT$2)),$E72,(RiskSlide!$A$7),($G72+BT$3),((RiskSlide!$A$10)/260),$C72,$B72,RiskSlide!$H101)</f>
        <v>0</v>
      </c>
      <c r="BU72">
        <f>PnL(($D$7*(1+BU$2)),$E72,(RiskSlide!$A$7),($G72+BU$3),((RiskSlide!$A$10)/260),$C72,$B72,RiskSlide!$H101)</f>
        <v>0</v>
      </c>
      <c r="BV72">
        <f>PnL(($D$7*(1+BV$2)),$E72,(RiskSlide!$A$7),($G72+BV$3),((RiskSlide!$A$10)/260),$C72,$B72,RiskSlide!$H101)</f>
        <v>0</v>
      </c>
      <c r="BW72">
        <f>PnL(($D$7*(1+BW$2)),$E72,(RiskSlide!$A$7),($G72+BW$3),((RiskSlide!$A$10)/260),$C72,$B72,RiskSlide!$H101)</f>
        <v>0</v>
      </c>
      <c r="BX72">
        <f>PnL(($D$7*(1+BX$2)),$E72,(RiskSlide!$A$7),($G72+BX$3),((RiskSlide!$A$10)/260),$C72,$B72,RiskSlide!$H101)</f>
        <v>0</v>
      </c>
      <c r="BY72">
        <f>PnL(($D$7*(1+BY$2)),$E72,(RiskSlide!$A$7),($G72+BY$3),((RiskSlide!$A$10)/260),$C72,$B72,RiskSlide!$H101)</f>
        <v>0</v>
      </c>
      <c r="BZ72">
        <f>PnL(($D$7*(1+BZ$2)),$E72,(RiskSlide!$A$7),($G72+BZ$3),((RiskSlide!$A$10)/260),$C72,$B72,RiskSlide!$H101)</f>
        <v>0</v>
      </c>
      <c r="CA72">
        <f>PnL(($D$7*(1+CA$2)),$E72,(RiskSlide!$A$7),($G72+CA$3),((RiskSlide!$A$10)/260),$C72,$B72,RiskSlide!$H101)</f>
        <v>0</v>
      </c>
      <c r="CB72">
        <f>PnL(($D$7*(1+CB$2)),$E72,(RiskSlide!$A$7),($G72+CB$3),((RiskSlide!$A$10)/260),$C72,$B72,RiskSlide!$H101)</f>
        <v>0</v>
      </c>
      <c r="CC72">
        <f>PnL(($D$7*(1+CC$2)),$E72,(RiskSlide!$A$7),($G72+CC$3),((RiskSlide!$A$10)/260),$C72,$B72,RiskSlide!$H101)</f>
        <v>0</v>
      </c>
      <c r="CD72">
        <f>PnL(($D$7*(1+CD$2)),$E72,(RiskSlide!$A$7),($G72+CD$3),((RiskSlide!$A$10)/260),$C72,$B72,RiskSlide!$H101)</f>
        <v>0</v>
      </c>
      <c r="CE72">
        <f>PnL(($D$7*(1+CE$2)),$E72,(RiskSlide!$A$7),($G72+CE$3),((RiskSlide!$A$10)/260),$C72,$B72,RiskSlide!$H101)</f>
        <v>0</v>
      </c>
      <c r="CF72">
        <f>PnL(($D$7*(1+CF$2)),$E72,(RiskSlide!$A$7),($G72+CF$3),((RiskSlide!$A$10)/260),$C72,$B72,RiskSlide!$H101)</f>
        <v>0</v>
      </c>
      <c r="CG72">
        <f>PnL(($D$7*(1+CG$2)),$E72,(RiskSlide!$A$7),($G72+CG$3),((RiskSlide!$A$10)/260),$C72,$B72,RiskSlide!$H101)</f>
        <v>0</v>
      </c>
      <c r="CH72">
        <f>PnL(($D$7*(1+CH$2)),$E72,(RiskSlide!$A$7),($G72+CH$3),((RiskSlide!$A$10)/260),$C72,$B72,RiskSlide!$H101)</f>
        <v>0</v>
      </c>
      <c r="CI72">
        <f>PnL(($D$7*(1+CI$2)),$E72,(RiskSlide!$A$7),($G72+CI$3),((RiskSlide!$A$10)/260),$C72,$B72,RiskSlide!$H101)</f>
        <v>0</v>
      </c>
      <c r="CJ72">
        <f>PnL(($D$7*(1+CJ$2)),$E72,(RiskSlide!$A$7),($G72+CJ$3),((RiskSlide!$A$10)/260),$C72,$B72,RiskSlide!$H101)</f>
        <v>0</v>
      </c>
      <c r="CK72">
        <f>PnL(($D$7*(1+CK$2)),$E72,(RiskSlide!$A$7),($G72+CK$3),((RiskSlide!$A$10)/260),$C72,$B72,RiskSlide!$H101)</f>
        <v>0</v>
      </c>
      <c r="CL72">
        <f>PnL(($D$7*(1+CL$2)),$E72,(RiskSlide!$A$7),($G72+CL$3),((RiskSlide!$A$10)/260),$C72,$B72,RiskSlide!$H101)</f>
        <v>0</v>
      </c>
      <c r="CM72">
        <f>PnL(($D$7*(1+CM$2)),$E72,(RiskSlide!$A$7),($G72+CM$3),((RiskSlide!$A$10)/260),$C72,$B72,RiskSlide!$H101)</f>
        <v>0</v>
      </c>
    </row>
    <row r="73" spans="1:91" x14ac:dyDescent="0.25">
      <c r="A73" t="s">
        <v>68</v>
      </c>
      <c r="B73">
        <v>-2</v>
      </c>
      <c r="C73">
        <v>0</v>
      </c>
      <c r="D73" s="1">
        <f>$D$7+(D5-D6)</f>
        <v>1775.63</v>
      </c>
      <c r="E73">
        <v>1710</v>
      </c>
      <c r="F73">
        <v>3.5000000000000001E-3</v>
      </c>
      <c r="G73">
        <v>0.16261800000000001</v>
      </c>
      <c r="K73">
        <f>PnL((($D$7*(1+K$2))+($D$5-$D$6)),$E73,(RiskSlide!$A$7),($G73+K$3),((RiskSlide!$A$12)/260),$C73,$B73,RiskSlide!$H102)</f>
        <v>-11558.857568245508</v>
      </c>
      <c r="L73">
        <f>PnL((($D$7*(1+L$2))+($D$5-$D$6)),$E73,(RiskSlide!$A$7),($G73+L$3),((RiskSlide!$A$12)/260),$C73,$B73,RiskSlide!$H102)</f>
        <v>-10916.870033821993</v>
      </c>
      <c r="M73">
        <f>PnL((($D$7*(1+M$2))+($D$5-$D$6)),$E73,(RiskSlide!$A$7),($G73+M$3),((RiskSlide!$A$12)/260),$C73,$B73,RiskSlide!$H102)</f>
        <v>-10508.886228573221</v>
      </c>
      <c r="N73">
        <f>PnL((($D$7*(1+N$2))+($D$5-$D$6)),$E73,(RiskSlide!$A$7),($G73+N$3),((RiskSlide!$A$12)/260),$C73,$B73,RiskSlide!$H102)</f>
        <v>-10466.504153115904</v>
      </c>
      <c r="O73">
        <f>PnL((($D$7*(1+O$2))+($D$5-$D$6)),$E73,(RiskSlide!$A$7),($G73+O$3),((RiskSlide!$A$12)/260),$C73,$B73,RiskSlide!$H102)</f>
        <v>-10426.302822196141</v>
      </c>
      <c r="P73">
        <f>PnL((($D$7*(1+P$2))+($D$5-$D$6)),$E73,(RiskSlide!$A$7),($G73+P$3),((RiskSlide!$A$12)/260),$C73,$B73,RiskSlide!$H102)</f>
        <v>-10388.361228040554</v>
      </c>
      <c r="Q73">
        <f>PnL((($D$7*(1+Q$2))+($D$5-$D$6)),$E73,(RiskSlide!$A$7),($G73+Q$3),((RiskSlide!$A$12)/260),$C73,$B73,RiskSlide!$H102)</f>
        <v>-10352.755332190356</v>
      </c>
      <c r="R73">
        <f>PnL((($D$7*(1+R$2))+($D$5-$D$6)),$E73,(RiskSlide!$A$7),($G73+R$3),((RiskSlide!$A$12)/260),$C73,$B73,RiskSlide!$H102)</f>
        <v>-10158.320459860926</v>
      </c>
      <c r="S73">
        <f>PnL((($D$7*(1+S$2))+($D$5-$D$6)),$E73,(RiskSlide!$A$7),($G73+S$3),((RiskSlide!$A$12)/260),$C73,$B73,RiskSlide!$H102)</f>
        <v>-10107.898931574329</v>
      </c>
      <c r="T73">
        <f>PnL((($D$7*(1+T$2))+($D$5-$D$6)),$E73,(RiskSlide!$A$7),($G73+T$3),((RiskSlide!$A$12)/260),$C73,$B73,RiskSlide!$H102)</f>
        <v>-5533.4474241054122</v>
      </c>
      <c r="U73">
        <f>PnL((($D$7*(1+U$2))+($D$5-$D$6)),$E73,(RiskSlide!$A$7),($G73+U$3),((RiskSlide!$A$12)/260),$C73,$B73,RiskSlide!$H102)</f>
        <v>-4523.0980102598378</v>
      </c>
      <c r="V73">
        <f>PnL((($D$7*(1+V$2))+($D$5-$D$6)),$E73,(RiskSlide!$A$7),($G73+V$3),((RiskSlide!$A$12)/260),$C73,$B73,RiskSlide!$H102)</f>
        <v>-3722.0452409159807</v>
      </c>
      <c r="W73">
        <f>PnL((($D$7*(1+W$2))+($D$5-$D$6)),$E73,(RiskSlide!$A$7),($G73+W$3),((RiskSlide!$A$12)/260),$C73,$B73,RiskSlide!$H102)</f>
        <v>-3622.6243335583658</v>
      </c>
      <c r="X73">
        <f>PnL((($D$7*(1+X$2))+($D$5-$D$6)),$E73,(RiskSlide!$A$7),($G73+X$3),((RiskSlide!$A$12)/260),$C73,$B73,RiskSlide!$H102)</f>
        <v>-3523.4096631021484</v>
      </c>
      <c r="Y73">
        <f>PnL((($D$7*(1+Y$2))+($D$5-$D$6)),$E73,(RiskSlide!$A$7),($G73+Y$3),((RiskSlide!$A$12)/260),$C73,$B73,RiskSlide!$H102)</f>
        <v>-3424.4206045106976</v>
      </c>
      <c r="Z73">
        <f>PnL((($D$7*(1+Z$2))+($D$5-$D$6)),$E73,(RiskSlide!$A$7),($G73+Z$3),((RiskSlide!$A$12)/260),$C73,$B73,RiskSlide!$H102)</f>
        <v>-3325.6789793295129</v>
      </c>
      <c r="AA73">
        <f>PnL((($D$7*(1+AA$2))+($D$5-$D$6)),$E73,(RiskSlide!$A$7),($G73+AA$3),((RiskSlide!$A$12)/260),$C73,$B73,RiskSlide!$H102)</f>
        <v>-2548.4844475617647</v>
      </c>
      <c r="AB73">
        <f>PnL((($D$7*(1+AB$2))+($D$5-$D$6)),$E73,(RiskSlide!$A$7),($G73+AB$3),((RiskSlide!$A$12)/260),$C73,$B73,RiskSlide!$H102)</f>
        <v>-1652.8135142790063</v>
      </c>
      <c r="AC73">
        <f>PnL((($D$7*(1+AC$2))+($D$5-$D$6)),$E73,(RiskSlide!$A$7),($G73+AC$3),((RiskSlide!$A$12)/260),$C73,$B73,RiskSlide!$H102)</f>
        <v>-2339.7565871706147</v>
      </c>
      <c r="AD73">
        <f>PnL((($D$7*(1+AD$2))+($D$5-$D$6)),$E73,(RiskSlide!$A$7),($G73+AD$3),((RiskSlide!$A$12)/260),$C73,$B73,RiskSlide!$H102)</f>
        <v>-1366.2147638919976</v>
      </c>
      <c r="AE73">
        <f>PnL((($D$7*(1+AE$2))+($D$5-$D$6)),$E73,(RiskSlide!$A$7),($G73+AE$3),((RiskSlide!$A$12)/260),$C73,$B73,RiskSlide!$H102)</f>
        <v>-617.23920802486987</v>
      </c>
      <c r="AF73">
        <f>PnL((($D$7*(1+AF$2))+($D$5-$D$6)),$E73,(RiskSlide!$A$7),($G73+AF$3),((RiskSlide!$A$12)/260),$C73,$B73,RiskSlide!$H102)</f>
        <v>-526.46021388817985</v>
      </c>
      <c r="AG73">
        <f>PnL((($D$7*(1+AG$2))+($D$5-$D$6)),$E73,(RiskSlide!$A$7),($G73+AG$3),((RiskSlide!$A$12)/260),$C73,$B73,RiskSlide!$H102)</f>
        <v>-436.48923348864628</v>
      </c>
      <c r="AH73">
        <f>PnL((($D$7*(1+AH$2))+($D$5-$D$6)),$E73,(RiskSlide!$A$7),($G73+AH$3),((RiskSlide!$A$12)/260),$C73,$B73,RiskSlide!$H102)</f>
        <v>-347.39512180991028</v>
      </c>
      <c r="AI73">
        <f>PnL((($D$7*(1+AI$2))+($D$5-$D$6)),$E73,(RiskSlide!$A$7),($G73+AI$3),((RiskSlide!$A$12)/260),$C73,$B73,RiskSlide!$H102)</f>
        <v>-259.2544212666553</v>
      </c>
      <c r="AJ73">
        <f>PnL((($D$7*(1+AJ$2))+($D$5-$D$6)),$E73,(RiskSlide!$A$7),($G73+AJ$3),((RiskSlide!$A$12)/260),$C73,$B73,RiskSlide!$H102)</f>
        <v>398.83277838277991</v>
      </c>
      <c r="AK73">
        <f>PnL((($D$7*(1+AK$2))+($D$5-$D$6)),$E73,(RiskSlide!$A$7),($G73+AK$3),((RiskSlide!$A$12)/260),$C73,$B73,RiskSlide!$H102)</f>
        <v>988.33002526441624</v>
      </c>
      <c r="AL73">
        <f>PnL((($D$7*(1+AL$2))+($D$5-$D$6)),$E73,(RiskSlide!$A$7),($G73+AL$3),((RiskSlide!$A$12)/260),$C73,$B73,RiskSlide!$H102)</f>
        <v>-2039.6853714257929</v>
      </c>
      <c r="AM73">
        <f>PnL((($D$7*(1+AM$2))+($D$5-$D$6)),$E73,(RiskSlide!$A$7),($G73+AM$3),((RiskSlide!$A$12)/260),$C73,$B73,RiskSlide!$H102)</f>
        <v>-1092.3400876372455</v>
      </c>
      <c r="AN73">
        <f>PnL((($D$7*(1+AN$2))+($D$5-$D$6)),$E73,(RiskSlide!$A$7),($G73+AN$3),((RiskSlide!$A$12)/260),$C73,$B73,RiskSlide!$H102)</f>
        <v>-374.73530381459454</v>
      </c>
      <c r="AO73">
        <f>PnL((($D$7*(1+AO$2))+($D$5-$D$6)),$E73,(RiskSlide!$A$7),($G73+AO$3),((RiskSlide!$A$12)/260),$C73,$B73,RiskSlide!$H102)</f>
        <v>-288.81989421839762</v>
      </c>
      <c r="AP73">
        <f>PnL((($D$7*(1+AP$2))+($D$5-$D$6)),$E73,(RiskSlide!$A$7),($G73+AP$3),((RiskSlide!$A$12)/260),$C73,$B73,RiskSlide!$H102)</f>
        <v>-203.97020992904231</v>
      </c>
      <c r="AQ73">
        <f>PnL((($D$7*(1+AQ$2))+($D$5-$D$6)),$E73,(RiskSlide!$A$7),($G73+AQ$3),((RiskSlide!$A$12)/260),$C73,$B73,RiskSlide!$H102)</f>
        <v>-120.27270053832808</v>
      </c>
      <c r="AR73">
        <f>PnL((($D$7*(1+AR$2))+($D$5-$D$6)),$E73,(RiskSlide!$A$7),($G73+AR$3),((RiskSlide!$A$12)/260),$C73,$B73,RiskSlide!$H102)</f>
        <v>-37.822769847116433</v>
      </c>
      <c r="AS73">
        <f>PnL((($D$7*(1+AS$2))+($D$5-$D$6)),$E73,(RiskSlide!$A$7),($G73+AS$3),((RiskSlide!$A$12)/260),$C73,$B73,RiskSlide!$H102)</f>
        <v>561.48985672465415</v>
      </c>
      <c r="AT73">
        <f>PnL((($D$7*(1+AT$2))+($D$5-$D$6)),$E73,(RiskSlide!$A$7),($G73+AT$3),((RiskSlide!$A$12)/260),$C73,$B73,RiskSlide!$H102)</f>
        <v>1036.7336526699603</v>
      </c>
      <c r="AU73">
        <f>PnL((($D$7*(1+AU$2))+($D$5-$D$6)),$E73,(RiskSlide!$A$7),($G73+AU$3),((RiskSlide!$A$12)/260),$C73,$B73,RiskSlide!$H102)</f>
        <v>-1759.8836965430621</v>
      </c>
      <c r="AV73">
        <f>PnL((($D$7*(1+AV$2))+($D$5-$D$6)),$E73,(RiskSlide!$A$7),($G73+AV$3),((RiskSlide!$A$12)/260),$C73,$B73,RiskSlide!$H102)</f>
        <v>-842.40867593591133</v>
      </c>
      <c r="AW73">
        <f>PnL((($D$7*(1+AW$2))+($D$5-$D$6)),$E73,(RiskSlide!$A$7),($G73+AW$3),((RiskSlide!$A$12)/260),$C73,$B73,RiskSlide!$H102)</f>
        <v>-159.80695051632665</v>
      </c>
      <c r="AX73">
        <f>PnL((($D$7*(1+AX$2))+($D$5-$D$6)),$E73,(RiskSlide!$A$7),($G73+AX$3),((RiskSlide!$A$12)/260),$C73,$B73,RiskSlide!$H102)</f>
        <v>-79.240729751205663</v>
      </c>
      <c r="AY73">
        <f>PnL((($D$7*(1+AY$2))+($D$5-$D$6)),$E73,(RiskSlide!$A$7),($G73+AY$3),((RiskSlide!$A$12)/260),$C73,$B73,RiskSlide!$H102)</f>
        <v>0</v>
      </c>
      <c r="AZ73">
        <f>PnL((($D$7*(1+AZ$2))+($D$5-$D$6)),$E73,(RiskSlide!$A$7),($G73+AZ$3),((RiskSlide!$A$12)/260),$C73,$B73,RiskSlide!$H102)</f>
        <v>77.813936383421378</v>
      </c>
      <c r="BA73">
        <f>PnL((($D$7*(1+BA$2))+($D$5-$D$6)),$E73,(RiskSlide!$A$7),($G73+BA$3),((RiskSlide!$A$12)/260),$C73,$B73,RiskSlide!$H102)</f>
        <v>154.09027591820177</v>
      </c>
      <c r="BB73">
        <f>PnL((($D$7*(1+BB$2))+($D$5-$D$6)),$E73,(RiskSlide!$A$7),($G73+BB$3),((RiskSlide!$A$12)/260),$C73,$B73,RiskSlide!$H102)</f>
        <v>691.74320803466856</v>
      </c>
      <c r="BC73">
        <f>PnL((($D$7*(1+BC$2))+($D$5-$D$6)),$E73,(RiskSlide!$A$7),($G73+BC$3),((RiskSlide!$A$12)/260),$C73,$B73,RiskSlide!$H102)</f>
        <v>1064.2091597247443</v>
      </c>
      <c r="BD73">
        <f>PnL((($D$7*(1+BD$2))+($D$5-$D$6)),$E73,(RiskSlide!$A$7),($G73+BD$3),((RiskSlide!$A$12)/260),$C73,$B73,RiskSlide!$H102)</f>
        <v>-1499.6437633352457</v>
      </c>
      <c r="BE73">
        <f>PnL((($D$7*(1+BE$2))+($D$5-$D$6)),$E73,(RiskSlide!$A$7),($G73+BE$3),((RiskSlide!$A$12)/260),$C73,$B73,RiskSlide!$H102)</f>
        <v>-615.24720058503135</v>
      </c>
      <c r="BF73">
        <f>PnL((($D$7*(1+BF$2))+($D$5-$D$6)),$E73,(RiskSlide!$A$7),($G73+BF$3),((RiskSlide!$A$12)/260),$C73,$B73,RiskSlide!$H102)</f>
        <v>29.469091930616287</v>
      </c>
      <c r="BG73">
        <f>PnL((($D$7*(1+BG$2))+($D$5-$D$6)),$E73,(RiskSlide!$A$7),($G73+BG$3),((RiskSlide!$A$12)/260),$C73,$B73,RiskSlide!$H102)</f>
        <v>104.3363711514985</v>
      </c>
      <c r="BH73">
        <f>PnL((($D$7*(1+BH$2))+($D$5-$D$6)),$E73,(RiskSlide!$A$7),($G73+BH$3),((RiskSlide!$A$12)/260),$C73,$B73,RiskSlide!$H102)</f>
        <v>177.62925916907193</v>
      </c>
      <c r="BI73">
        <f>PnL((($D$7*(1+BI$2))+($D$5-$D$6)),$E73,(RiskSlide!$A$7),($G73+BI$3),((RiskSlide!$A$12)/260),$C73,$B73,RiskSlide!$H102)</f>
        <v>249.23574593593116</v>
      </c>
      <c r="BJ73">
        <f>PnL((($D$7*(1+BJ$2))+($D$5-$D$6)),$E73,(RiskSlide!$A$7),($G73+BJ$3),((RiskSlide!$A$12)/260),$C73,$B73,RiskSlide!$H102)</f>
        <v>319.03463443690612</v>
      </c>
      <c r="BK73">
        <f>PnL((($D$7*(1+BK$2))+($D$5-$D$6)),$E73,(RiskSlide!$A$7),($G73+BK$3),((RiskSlide!$A$12)/260),$C73,$B73,RiskSlide!$H102)</f>
        <v>794.36645022271364</v>
      </c>
      <c r="BL73">
        <f>PnL((($D$7*(1+BL$2))+($D$5-$D$6)),$E73,(RiskSlide!$A$7),($G73+BL$3),((RiskSlide!$A$12)/260),$C73,$B73,RiskSlide!$H102)</f>
        <v>1078.9256927793883</v>
      </c>
      <c r="BM73">
        <f>PnL((($D$7*(1+BM$2))+($D$5-$D$6)),$E73,(RiskSlide!$A$7),($G73+BM$3),((RiskSlide!$A$12)/260),$C73,$B73,RiskSlide!$H102)</f>
        <v>-1258.2115490477292</v>
      </c>
      <c r="BN73">
        <f>PnL((($D$7*(1+BN$2))+($D$5-$D$6)),$E73,(RiskSlide!$A$7),($G73+BN$3),((RiskSlide!$A$12)/260),$C73,$B73,RiskSlide!$H102)</f>
        <v>-409.61542534078035</v>
      </c>
      <c r="BO73">
        <f>PnL((($D$7*(1+BO$2))+($D$5-$D$6)),$E73,(RiskSlide!$A$7),($G73+BO$3),((RiskSlide!$A$12)/260),$C73,$B73,RiskSlide!$H102)</f>
        <v>195.08998757804648</v>
      </c>
      <c r="BP73">
        <f>PnL((($D$7*(1+BP$2))+($D$5-$D$6)),$E73,(RiskSlide!$A$7),($G73+BP$3),((RiskSlide!$A$12)/260),$C73,$B73,RiskSlide!$H102)</f>
        <v>264.0421765772885</v>
      </c>
      <c r="BQ73">
        <f>PnL((($D$7*(1+BQ$2))+($D$5-$D$6)),$E73,(RiskSlide!$A$7),($G73+BQ$3),((RiskSlide!$A$12)/260),$C73,$B73,RiskSlide!$H102)</f>
        <v>331.19338965318548</v>
      </c>
      <c r="BR73">
        <f>PnL((($D$7*(1+BR$2))+($D$5-$D$6)),$E73,(RiskSlide!$A$7),($G73+BR$3),((RiskSlide!$A$12)/260),$C73,$B73,RiskSlide!$H102)</f>
        <v>396.42604729722848</v>
      </c>
      <c r="BS73">
        <f>PnL((($D$7*(1+BS$2))+($D$5-$D$6)),$E73,(RiskSlide!$A$7),($G73+BS$3),((RiskSlide!$A$12)/260),$C73,$B73,RiskSlide!$H102)</f>
        <v>459.61459271672425</v>
      </c>
      <c r="BT73">
        <f>PnL((($D$7*(1+BT$2))+($D$5-$D$6)),$E73,(RiskSlide!$A$7),($G73+BT$3),((RiskSlide!$A$12)/260),$C73,$B73,RiskSlide!$H102)</f>
        <v>873.91007570745103</v>
      </c>
      <c r="BU73">
        <f>PnL((($D$7*(1+BU$2))+($D$5-$D$6)),$E73,(RiskSlide!$A$7),($G73+BU$3),((RiskSlide!$A$12)/260),$C73,$B73,RiskSlide!$H102)</f>
        <v>1086.3621869844706</v>
      </c>
      <c r="BV73">
        <f>PnL((($D$7*(1+BV$2))+($D$5-$D$6)),$E73,(RiskSlide!$A$7),($G73+BV$3),((RiskSlide!$A$12)/260),$C73,$B73,RiskSlide!$H102)</f>
        <v>95.436219483212881</v>
      </c>
      <c r="BW73">
        <f>PnL((($D$7*(1+BW$2))+($D$5-$D$6)),$E73,(RiskSlide!$A$7),($G73+BW$3),((RiskSlide!$A$12)/260),$C73,$B73,RiskSlide!$H102)</f>
        <v>616.89258643488927</v>
      </c>
      <c r="BX73">
        <f>PnL((($D$7*(1+BX$2))+($D$5-$D$6)),$E73,(RiskSlide!$A$7),($G73+BX$3),((RiskSlide!$A$12)/260),$C73,$B73,RiskSlide!$H102)</f>
        <v>902.99346123458122</v>
      </c>
      <c r="BY73">
        <f>PnL((($D$7*(1+BY$2))+($D$5-$D$6)),$E73,(RiskSlide!$A$7),($G73+BY$3),((RiskSlide!$A$12)/260),$C73,$B73,RiskSlide!$H102)</f>
        <v>929.27461686254424</v>
      </c>
      <c r="BZ73">
        <f>PnL((($D$7*(1+BZ$2))+($D$5-$D$6)),$E73,(RiskSlide!$A$7),($G73+BZ$3),((RiskSlide!$A$12)/260),$C73,$B73,RiskSlide!$H102)</f>
        <v>953.36729958307558</v>
      </c>
      <c r="CA73">
        <f>PnL((($D$7*(1+CA$2))+($D$5-$D$6)),$E73,(RiskSlide!$A$7),($G73+CA$3),((RiskSlide!$A$12)/260),$C73,$B73,RiskSlide!$H102)</f>
        <v>975.27187533029996</v>
      </c>
      <c r="CB73">
        <f>PnL((($D$7*(1+CB$2))+($D$5-$D$6)),$E73,(RiskSlide!$A$7),($G73+CB$3),((RiskSlide!$A$12)/260),$C73,$B73,RiskSlide!$H102)</f>
        <v>995.00172676395596</v>
      </c>
      <c r="CC73">
        <f>PnL((($D$7*(1+CC$2))+($D$5-$D$6)),$E73,(RiskSlide!$A$7),($G73+CC$3),((RiskSlide!$A$12)/260),$C73,$B73,RiskSlide!$H102)</f>
        <v>1081.8337221143797</v>
      </c>
      <c r="CD73">
        <f>PnL((($D$7*(1+CD$2))+($D$5-$D$6)),$E73,(RiskSlide!$A$7),($G73+CD$3),((RiskSlide!$A$12)/260),$C73,$B73,RiskSlide!$H102)</f>
        <v>1092.6056002898263</v>
      </c>
      <c r="CE73">
        <f>PnL((($D$7*(1+CE$2))+($D$5-$D$6)),$E73,(RiskSlide!$A$7),($G73+CE$3),((RiskSlide!$A$12)/260),$C73,$B73,RiskSlide!$H102)</f>
        <v>809.1448787469119</v>
      </c>
      <c r="CF73">
        <f>PnL((($D$7*(1+CF$2))+($D$5-$D$6)),$E73,(RiskSlide!$A$7),($G73+CF$3),((RiskSlide!$A$12)/260),$C73,$B73,RiskSlide!$H102)</f>
        <v>1009.3484372873447</v>
      </c>
      <c r="CG73">
        <f>PnL((($D$7*(1+CG$2))+($D$5-$D$6)),$E73,(RiskSlide!$A$7),($G73+CG$3),((RiskSlide!$A$12)/260),$C73,$B73,RiskSlide!$H102)</f>
        <v>1076.0580736025152</v>
      </c>
      <c r="CH73">
        <f>PnL((($D$7*(1+CH$2))+($D$5-$D$6)),$E73,(RiskSlide!$A$7),($G73+CH$3),((RiskSlide!$A$12)/260),$C73,$B73,RiskSlide!$H102)</f>
        <v>1079.9793822812387</v>
      </c>
      <c r="CI73">
        <f>PnL((($D$7*(1+CI$2))+($D$5-$D$6)),$E73,(RiskSlide!$A$7),($G73+CI$3),((RiskSlide!$A$12)/260),$C73,$B73,RiskSlide!$H102)</f>
        <v>1083.1732613787985</v>
      </c>
      <c r="CJ73">
        <f>PnL((($D$7*(1+CJ$2))+($D$5-$D$6)),$E73,(RiskSlide!$A$7),($G73+CJ$3),((RiskSlide!$A$12)/260),$C73,$B73,RiskSlide!$H102)</f>
        <v>1085.7244558570469</v>
      </c>
      <c r="CK73">
        <f>PnL((($D$7*(1+CK$2))+($D$5-$D$6)),$E73,(RiskSlide!$A$7),($G73+CK$3),((RiskSlide!$A$12)/260),$C73,$B73,RiskSlide!$H102)</f>
        <v>1087.7178912054724</v>
      </c>
      <c r="CL73">
        <f>PnL((($D$7*(1+CL$2))+($D$5-$D$6)),$E73,(RiskSlide!$A$7),($G73+CL$3),((RiskSlide!$A$12)/260),$C73,$B73,RiskSlide!$H102)</f>
        <v>1092.5394970340046</v>
      </c>
      <c r="CM73">
        <f>PnL((($D$7*(1+CM$2))+($D$5-$D$6)),$E73,(RiskSlide!$A$7),($G73+CM$3),((RiskSlide!$A$12)/260),$C73,$B73,RiskSlide!$H102)</f>
        <v>1092.6072707241251</v>
      </c>
    </row>
    <row r="74" spans="1:91" x14ac:dyDescent="0.25">
      <c r="A74" t="s">
        <v>69</v>
      </c>
      <c r="B74">
        <v>-16</v>
      </c>
      <c r="C74">
        <v>0</v>
      </c>
      <c r="E74">
        <v>1720</v>
      </c>
      <c r="F74">
        <v>3.5000000000000001E-3</v>
      </c>
      <c r="G74">
        <v>0.15757199999999999</v>
      </c>
      <c r="K74">
        <f>PnL((($D$7*(1+K$2))+($D$5-$D$6)),$E74,(RiskSlide!$A$7),($G74+K$3),((RiskSlide!$A$12)/260),$C74,$B74,RiskSlide!$H103)</f>
        <v>-97238.210002854379</v>
      </c>
      <c r="L74">
        <f>PnL((($D$7*(1+L$2))+($D$5-$D$6)),$E74,(RiskSlide!$A$7),($G74+L$3),((RiskSlide!$A$12)/260),$C74,$B74,RiskSlide!$H103)</f>
        <v>-92588.622924420226</v>
      </c>
      <c r="M74">
        <f>PnL((($D$7*(1+M$2))+($D$5-$D$6)),$E74,(RiskSlide!$A$7),($G74+M$3),((RiskSlide!$A$12)/260),$C74,$B74,RiskSlide!$H103)</f>
        <v>-89809.318114882219</v>
      </c>
      <c r="N74">
        <f>PnL((($D$7*(1+N$2))+($D$5-$D$6)),$E74,(RiskSlide!$A$7),($G74+N$3),((RiskSlide!$A$12)/260),$C74,$B74,RiskSlide!$H103)</f>
        <v>-89535.652236460694</v>
      </c>
      <c r="O74">
        <f>PnL((($D$7*(1+O$2))+($D$5-$D$6)),$E74,(RiskSlide!$A$7),($G74+O$3),((RiskSlide!$A$12)/260),$C74,$B74,RiskSlide!$H103)</f>
        <v>-89280.051710307773</v>
      </c>
      <c r="P74">
        <f>PnL((($D$7*(1+P$2))+($D$5-$D$6)),$E74,(RiskSlide!$A$7),($G74+P$3),((RiskSlide!$A$12)/260),$C74,$B74,RiskSlide!$H103)</f>
        <v>-89042.920796611492</v>
      </c>
      <c r="Q74">
        <f>PnL((($D$7*(1+Q$2))+($D$5-$D$6)),$E74,(RiskSlide!$A$7),($G74+Q$3),((RiskSlide!$A$12)/260),$C74,$B74,RiskSlide!$H103)</f>
        <v>-88824.594749631389</v>
      </c>
      <c r="R74">
        <f>PnL((($D$7*(1+R$2))+($D$5-$D$6)),$E74,(RiskSlide!$A$7),($G74+R$3),((RiskSlide!$A$12)/260),$C74,$B74,RiskSlide!$H103)</f>
        <v>-87755.249130030963</v>
      </c>
      <c r="S74">
        <f>PnL((($D$7*(1+S$2))+($D$5-$D$6)),$E74,(RiskSlide!$A$7),($G74+S$3),((RiskSlide!$A$12)/260),$C74,$B74,RiskSlide!$H103)</f>
        <v>-87572.811863886585</v>
      </c>
      <c r="T74">
        <f>PnL((($D$7*(1+T$2))+($D$5-$D$6)),$E74,(RiskSlide!$A$7),($G74+T$3),((RiskSlide!$A$12)/260),$C74,$B74,RiskSlide!$H103)</f>
        <v>-46947.078001853195</v>
      </c>
      <c r="U74">
        <f>PnL((($D$7*(1+U$2))+($D$5-$D$6)),$E74,(RiskSlide!$A$7),($G74+U$3),((RiskSlide!$A$12)/260),$C74,$B74,RiskSlide!$H103)</f>
        <v>-39002.267100764722</v>
      </c>
      <c r="V74">
        <f>PnL((($D$7*(1+V$2))+($D$5-$D$6)),$E74,(RiskSlide!$A$7),($G74+V$3),((RiskSlide!$A$12)/260),$C74,$B74,RiskSlide!$H103)</f>
        <v>-32772.801456373556</v>
      </c>
      <c r="W74">
        <f>PnL((($D$7*(1+W$2))+($D$5-$D$6)),$E74,(RiskSlide!$A$7),($G74+W$3),((RiskSlide!$A$12)/260),$C74,$B74,RiskSlide!$H103)</f>
        <v>-32006.499236457923</v>
      </c>
      <c r="X74">
        <f>PnL((($D$7*(1+X$2))+($D$5-$D$6)),$E74,(RiskSlide!$A$7),($G74+X$3),((RiskSlide!$A$12)/260),$C74,$B74,RiskSlide!$H103)</f>
        <v>-31243.784820070643</v>
      </c>
      <c r="Y74">
        <f>PnL((($D$7*(1+Y$2))+($D$5-$D$6)),$E74,(RiskSlide!$A$7),($G74+Y$3),((RiskSlide!$A$12)/260),$C74,$B74,RiskSlide!$H103)</f>
        <v>-30484.993404121589</v>
      </c>
      <c r="Z74">
        <f>PnL((($D$7*(1+Z$2))+($D$5-$D$6)),$E74,(RiskSlide!$A$7),($G74+Z$3),((RiskSlide!$A$12)/260),$C74,$B74,RiskSlide!$H103)</f>
        <v>-29730.5021939324</v>
      </c>
      <c r="AA74">
        <f>PnL((($D$7*(1+AA$2))+($D$5-$D$6)),$E74,(RiskSlide!$A$7),($G74+AA$3),((RiskSlide!$A$12)/260),$C74,$B74,RiskSlide!$H103)</f>
        <v>-23915.214588467781</v>
      </c>
      <c r="AB74">
        <f>PnL((($D$7*(1+AB$2))+($D$5-$D$6)),$E74,(RiskSlide!$A$7),($G74+AB$3),((RiskSlide!$A$12)/260),$C74,$B74,RiskSlide!$H103)</f>
        <v>-17918.163436091301</v>
      </c>
      <c r="AC74">
        <f>PnL((($D$7*(1+AC$2))+($D$5-$D$6)),$E74,(RiskSlide!$A$7),($G74+AC$3),((RiskSlide!$A$12)/260),$C74,$B74,RiskSlide!$H103)</f>
        <v>-19751.866021534763</v>
      </c>
      <c r="AD74">
        <f>PnL((($D$7*(1+AD$2))+($D$5-$D$6)),$E74,(RiskSlide!$A$7),($G74+AD$3),((RiskSlide!$A$12)/260),$C74,$B74,RiskSlide!$H103)</f>
        <v>-11733.665755126594</v>
      </c>
      <c r="AE74">
        <f>PnL((($D$7*(1+AE$2))+($D$5-$D$6)),$E74,(RiskSlide!$A$7),($G74+AE$3),((RiskSlide!$A$12)/260),$C74,$B74,RiskSlide!$H103)</f>
        <v>-5485.3327332056779</v>
      </c>
      <c r="AF74">
        <f>PnL((($D$7*(1+AF$2))+($D$5-$D$6)),$E74,(RiskSlide!$A$7),($G74+AF$3),((RiskSlide!$A$12)/260),$C74,$B74,RiskSlide!$H103)</f>
        <v>-4720.4773805833156</v>
      </c>
      <c r="AG74">
        <f>PnL((($D$7*(1+AG$2))+($D$5-$D$6)),$E74,(RiskSlide!$A$7),($G74+AG$3),((RiskSlide!$A$12)/260),$C74,$B74,RiskSlide!$H103)</f>
        <v>-3960.2934057639231</v>
      </c>
      <c r="AH74">
        <f>PnL((($D$7*(1+AH$2))+($D$5-$D$6)),$E74,(RiskSlide!$A$7),($G74+AH$3),((RiskSlide!$A$12)/260),$C74,$B74,RiskSlide!$H103)</f>
        <v>-3205.2089984084432</v>
      </c>
      <c r="AI74">
        <f>PnL((($D$7*(1+AI$2))+($D$5-$D$6)),$E74,(RiskSlide!$A$7),($G74+AI$3),((RiskSlide!$A$12)/260),$C74,$B74,RiskSlide!$H103)</f>
        <v>-2455.7046887470733</v>
      </c>
      <c r="AJ74">
        <f>PnL((($D$7*(1+AJ$2))+($D$5-$D$6)),$E74,(RiskSlide!$A$7),($G74+AJ$3),((RiskSlide!$A$12)/260),$C74,$B74,RiskSlide!$H103)</f>
        <v>3256.559180922477</v>
      </c>
      <c r="AK74">
        <f>PnL((($D$7*(1+AK$2))+($D$5-$D$6)),$E74,(RiskSlide!$A$7),($G74+AK$3),((RiskSlide!$A$12)/260),$C74,$B74,RiskSlide!$H103)</f>
        <v>8826.5825051794527</v>
      </c>
      <c r="AL74">
        <f>PnL((($D$7*(1+AL$2))+($D$5-$D$6)),$E74,(RiskSlide!$A$7),($G74+AL$3),((RiskSlide!$A$12)/260),$C74,$B74,RiskSlide!$H103)</f>
        <v>-17172.477765282973</v>
      </c>
      <c r="AM74">
        <f>PnL((($D$7*(1+AM$2))+($D$5-$D$6)),$E74,(RiskSlide!$A$7),($G74+AM$3),((RiskSlide!$A$12)/260),$C74,$B74,RiskSlide!$H103)</f>
        <v>-9333.8035431359913</v>
      </c>
      <c r="AN74">
        <f>PnL((($D$7*(1+AN$2))+($D$5-$D$6)),$E74,(RiskSlide!$A$7),($G74+AN$3),((RiskSlide!$A$12)/260),$C74,$B74,RiskSlide!$H103)</f>
        <v>-3307.2807739638392</v>
      </c>
      <c r="AO74">
        <f>PnL((($D$7*(1+AO$2))+($D$5-$D$6)),$E74,(RiskSlide!$A$7),($G74+AO$3),((RiskSlide!$A$12)/260),$C74,$B74,RiskSlide!$H103)</f>
        <v>-2577.4828000658999</v>
      </c>
      <c r="AP74">
        <f>PnL((($D$7*(1+AP$2))+($D$5-$D$6)),$E74,(RiskSlide!$A$7),($G74+AP$3),((RiskSlide!$A$12)/260),$C74,$B74,RiskSlide!$H103)</f>
        <v>-1854.4144883464469</v>
      </c>
      <c r="AQ74">
        <f>PnL((($D$7*(1+AQ$2))+($D$5-$D$6)),$E74,(RiskSlide!$A$7),($G74+AQ$3),((RiskSlide!$A$12)/260),$C74,$B74,RiskSlide!$H103)</f>
        <v>-1138.6676380890094</v>
      </c>
      <c r="AR74">
        <f>PnL((($D$7*(1+AR$2))+($D$5-$D$6)),$E74,(RiskSlide!$A$7),($G74+AR$3),((RiskSlide!$A$12)/260),$C74,$B74,RiskSlide!$H103)</f>
        <v>-430.90227871521165</v>
      </c>
      <c r="AS74">
        <f>PnL((($D$7*(1+AS$2))+($D$5-$D$6)),$E74,(RiskSlide!$A$7),($G74+AS$3),((RiskSlide!$A$12)/260),$C74,$B74,RiskSlide!$H103)</f>
        <v>4833.0093926451809</v>
      </c>
      <c r="AT74">
        <f>PnL((($D$7*(1+AT$2))+($D$5-$D$6)),$E74,(RiskSlide!$A$7),($G74+AT$3),((RiskSlide!$A$12)/260),$C74,$B74,RiskSlide!$H103)</f>
        <v>9391.4385866637422</v>
      </c>
      <c r="AU74">
        <f>PnL((($D$7*(1+AU$2))+($D$5-$D$6)),$E74,(RiskSlide!$A$7),($G74+AU$3),((RiskSlide!$A$12)/260),$C74,$B74,RiskSlide!$H103)</f>
        <v>-14763.140812362826</v>
      </c>
      <c r="AV74">
        <f>PnL((($D$7*(1+AV$2))+($D$5-$D$6)),$E74,(RiskSlide!$A$7),($G74+AV$3),((RiskSlide!$A$12)/260),$C74,$B74,RiskSlide!$H103)</f>
        <v>-7138.2550387391802</v>
      </c>
      <c r="AW74">
        <f>PnL((($D$7*(1+AW$2))+($D$5-$D$6)),$E74,(RiskSlide!$A$7),($G74+AW$3),((RiskSlide!$A$12)/260),$C74,$B74,RiskSlide!$H103)</f>
        <v>-1370.1208062706428</v>
      </c>
      <c r="AX74">
        <f>PnL((($D$7*(1+AX$2))+($D$5-$D$6)),$E74,(RiskSlide!$A$7),($G74+AX$3),((RiskSlide!$A$12)/260),$C74,$B74,RiskSlide!$H103)</f>
        <v>-680.59868524183003</v>
      </c>
      <c r="AY74">
        <f>PnL((($D$7*(1+AY$2))+($D$5-$D$6)),$E74,(RiskSlide!$A$7),($G74+AY$3),((RiskSlide!$A$12)/260),$C74,$B74,RiskSlide!$H103)</f>
        <v>0</v>
      </c>
      <c r="AZ74">
        <f>PnL((($D$7*(1+AZ$2))+($D$5-$D$6)),$E74,(RiskSlide!$A$7),($G74+AZ$3),((RiskSlide!$A$12)/260),$C74,$B74,RiskSlide!$H103)</f>
        <v>670.92946721159024</v>
      </c>
      <c r="BA74">
        <f>PnL((($D$7*(1+BA$2))+($D$5-$D$6)),$E74,(RiskSlide!$A$7),($G74+BA$3),((RiskSlide!$A$12)/260),$C74,$B74,RiskSlide!$H103)</f>
        <v>1331.3643950972619</v>
      </c>
      <c r="BB74">
        <f>PnL((($D$7*(1+BB$2))+($D$5-$D$6)),$E74,(RiskSlide!$A$7),($G74+BB$3),((RiskSlide!$A$12)/260),$C74,$B74,RiskSlide!$H103)</f>
        <v>6102.897357306847</v>
      </c>
      <c r="BC74">
        <f>PnL((($D$7*(1+BC$2))+($D$5-$D$6)),$E74,(RiskSlide!$A$7),($G74+BC$3),((RiskSlide!$A$12)/260),$C74,$B74,RiskSlide!$H103)</f>
        <v>9710.7600751272621</v>
      </c>
      <c r="BD74">
        <f>PnL((($D$7*(1+BD$2))+($D$5-$D$6)),$E74,(RiskSlide!$A$7),($G74+BD$3),((RiskSlide!$A$12)/260),$C74,$B74,RiskSlide!$H103)</f>
        <v>-12518.522035875276</v>
      </c>
      <c r="BE74">
        <f>PnL((($D$7*(1+BE$2))+($D$5-$D$6)),$E74,(RiskSlide!$A$7),($G74+BE$3),((RiskSlide!$A$12)/260),$C74,$B74,RiskSlide!$H103)</f>
        <v>-5138.0342981674403</v>
      </c>
      <c r="BF74">
        <f>PnL((($D$7*(1+BF$2))+($D$5-$D$6)),$E74,(RiskSlide!$A$7),($G74+BF$3),((RiskSlide!$A$12)/260),$C74,$B74,RiskSlide!$H103)</f>
        <v>341.29567862455588</v>
      </c>
      <c r="BG74">
        <f>PnL((($D$7*(1+BG$2))+($D$5-$D$6)),$E74,(RiskSlide!$A$7),($G74+BG$3),((RiskSlide!$A$12)/260),$C74,$B74,RiskSlide!$H103)</f>
        <v>986.47566426270714</v>
      </c>
      <c r="BH74">
        <f>PnL((($D$7*(1+BH$2))+($D$5-$D$6)),$E74,(RiskSlide!$A$7),($G74+BH$3),((RiskSlide!$A$12)/260),$C74,$B74,RiskSlide!$H103)</f>
        <v>1620.5250906024958</v>
      </c>
      <c r="BI74">
        <f>PnL((($D$7*(1+BI$2))+($D$5-$D$6)),$E74,(RiskSlide!$A$7),($G74+BI$3),((RiskSlide!$A$12)/260),$C74,$B74,RiskSlide!$H103)</f>
        <v>2242.5695151016498</v>
      </c>
      <c r="BJ74">
        <f>PnL((($D$7*(1+BJ$2))+($D$5-$D$6)),$E74,(RiskSlide!$A$7),($G74+BJ$3),((RiskSlide!$A$12)/260),$C74,$B74,RiskSlide!$H103)</f>
        <v>2851.6504395643551</v>
      </c>
      <c r="BK74">
        <f>PnL((($D$7*(1+BK$2))+($D$5-$D$6)),$E74,(RiskSlide!$A$7),($G74+BK$3),((RiskSlide!$A$12)/260),$C74,$B74,RiskSlide!$H103)</f>
        <v>7108.0078397024863</v>
      </c>
      <c r="BL74">
        <f>PnL((($D$7*(1+BL$2))+($D$5-$D$6)),$E74,(RiskSlide!$A$7),($G74+BL$3),((RiskSlide!$A$12)/260),$C74,$B74,RiskSlide!$H103)</f>
        <v>9879.3902297563363</v>
      </c>
      <c r="BM74">
        <f>PnL((($D$7*(1+BM$2))+($D$5-$D$6)),$E74,(RiskSlide!$A$7),($G74+BM$3),((RiskSlide!$A$12)/260),$C74,$B74,RiskSlide!$H103)</f>
        <v>-10432.828327976767</v>
      </c>
      <c r="BN74">
        <f>PnL((($D$7*(1+BN$2))+($D$5-$D$6)),$E74,(RiskSlide!$A$7),($G74+BN$3),((RiskSlide!$A$12)/260),$C74,$B74,RiskSlide!$H103)</f>
        <v>-3323.41800495401</v>
      </c>
      <c r="BO74">
        <f>PnL((($D$7*(1+BO$2))+($D$5-$D$6)),$E74,(RiskSlide!$A$7),($G74+BO$3),((RiskSlide!$A$12)/260),$C74,$B74,RiskSlide!$H103)</f>
        <v>1843.1333606318731</v>
      </c>
      <c r="BP74">
        <f>PnL((($D$7*(1+BP$2))+($D$5-$D$6)),$E74,(RiskSlide!$A$7),($G74+BP$3),((RiskSlide!$A$12)/260),$C74,$B74,RiskSlide!$H103)</f>
        <v>2441.0828175538882</v>
      </c>
      <c r="BQ74">
        <f>PnL((($D$7*(1+BQ$2))+($D$5-$D$6)),$E74,(RiskSlide!$A$7),($G74+BQ$3),((RiskSlide!$A$12)/260),$C74,$B74,RiskSlide!$H103)</f>
        <v>3025.7964336886289</v>
      </c>
      <c r="BR74">
        <f>PnL((($D$7*(1+BR$2))+($D$5-$D$6)),$E74,(RiskSlide!$A$7),($G74+BR$3),((RiskSlide!$A$12)/260),$C74,$B74,RiskSlide!$H103)</f>
        <v>3596.3092352258627</v>
      </c>
      <c r="BS74">
        <f>PnL((($D$7*(1+BS$2))+($D$5-$D$6)),$E74,(RiskSlide!$A$7),($G74+BS$3),((RiskSlide!$A$12)/260),$C74,$B74,RiskSlide!$H103)</f>
        <v>4151.5757636294893</v>
      </c>
      <c r="BT74">
        <f>PnL((($D$7*(1+BT$2))+($D$5-$D$6)),$E74,(RiskSlide!$A$7),($G74+BT$3),((RiskSlide!$A$12)/260),$C74,$B74,RiskSlide!$H103)</f>
        <v>7889.5625182806498</v>
      </c>
      <c r="BU74">
        <f>PnL((($D$7*(1+BU$2))+($D$5-$D$6)),$E74,(RiskSlide!$A$7),($G74+BU$3),((RiskSlide!$A$12)/260),$C74,$B74,RiskSlide!$H103)</f>
        <v>9962.5344834609641</v>
      </c>
      <c r="BV74">
        <f>PnL((($D$7*(1+BV$2))+($D$5-$D$6)),$E74,(RiskSlide!$A$7),($G74+BV$3),((RiskSlide!$A$12)/260),$C74,$B74,RiskSlide!$H103)</f>
        <v>1323.214110132858</v>
      </c>
      <c r="BW74">
        <f>PnL((($D$7*(1+BW$2))+($D$5-$D$6)),$E74,(RiskSlide!$A$7),($G74+BW$3),((RiskSlide!$A$12)/260),$C74,$B74,RiskSlide!$H103)</f>
        <v>5793.4791490098178</v>
      </c>
      <c r="BX74">
        <f>PnL((($D$7*(1+BX$2))+($D$5-$D$6)),$E74,(RiskSlide!$A$7),($G74+BX$3),((RiskSlide!$A$12)/260),$C74,$B74,RiskSlide!$H103)</f>
        <v>8305.4211570637344</v>
      </c>
      <c r="BY74">
        <f>PnL((($D$7*(1+BY$2))+($D$5-$D$6)),$E74,(RiskSlide!$A$7),($G74+BY$3),((RiskSlide!$A$12)/260),$C74,$B74,RiskSlide!$H103)</f>
        <v>8540.0913108150125</v>
      </c>
      <c r="BZ74">
        <f>PnL((($D$7*(1+BZ$2))+($D$5-$D$6)),$E74,(RiskSlide!$A$7),($G74+BZ$3),((RiskSlide!$A$12)/260),$C74,$B74,RiskSlide!$H103)</f>
        <v>8756.0820223540195</v>
      </c>
      <c r="CA74">
        <f>PnL((($D$7*(1+CA$2))+($D$5-$D$6)),$E74,(RiskSlide!$A$7),($G74+CA$3),((RiskSlide!$A$12)/260),$C74,$B74,RiskSlide!$H103)</f>
        <v>8953.2666509961582</v>
      </c>
      <c r="CB74">
        <f>PnL((($D$7*(1+CB$2))+($D$5-$D$6)),$E74,(RiskSlide!$A$7),($G74+CB$3),((RiskSlide!$A$12)/260),$C74,$B74,RiskSlide!$H103)</f>
        <v>9131.6248348986046</v>
      </c>
      <c r="CC74">
        <f>PnL((($D$7*(1+CC$2))+($D$5-$D$6)),$E74,(RiskSlide!$A$7),($G74+CC$3),((RiskSlide!$A$12)/260),$C74,$B74,RiskSlide!$H103)</f>
        <v>9928.3174907023022</v>
      </c>
      <c r="CD74">
        <f>PnL((($D$7*(1+CD$2))+($D$5-$D$6)),$E74,(RiskSlide!$A$7),($G74+CD$3),((RiskSlide!$A$12)/260),$C74,$B74,RiskSlide!$H103)</f>
        <v>10027.562036080026</v>
      </c>
      <c r="CE74">
        <f>PnL((($D$7*(1+CE$2))+($D$5-$D$6)),$E74,(RiskSlide!$A$7),($G74+CE$3),((RiskSlide!$A$12)/260),$C74,$B74,RiskSlide!$H103)</f>
        <v>7562.0438300219012</v>
      </c>
      <c r="CF74">
        <f>PnL((($D$7*(1+CF$2))+($D$5-$D$6)),$E74,(RiskSlide!$A$7),($G74+CF$3),((RiskSlide!$A$12)/260),$C74,$B74,RiskSlide!$H103)</f>
        <v>9296.1676823483849</v>
      </c>
      <c r="CG74">
        <f>PnL((($D$7*(1+CG$2))+($D$5-$D$6)),$E74,(RiskSlide!$A$7),($G74+CG$3),((RiskSlide!$A$12)/260),$C74,$B74,RiskSlide!$H103)</f>
        <v>9882.5129746192615</v>
      </c>
      <c r="CH74">
        <f>PnL((($D$7*(1+CH$2))+($D$5-$D$6)),$E74,(RiskSlide!$A$7),($G74+CH$3),((RiskSlide!$A$12)/260),$C74,$B74,RiskSlide!$H103)</f>
        <v>9917.1305060840205</v>
      </c>
      <c r="CI74">
        <f>PnL((($D$7*(1+CI$2))+($D$5-$D$6)),$E74,(RiskSlide!$A$7),($G74+CI$3),((RiskSlide!$A$12)/260),$C74,$B74,RiskSlide!$H103)</f>
        <v>9945.3119701162232</v>
      </c>
      <c r="CJ74">
        <f>PnL((($D$7*(1+CJ$2))+($D$5-$D$6)),$E74,(RiskSlide!$A$7),($G74+CJ$3),((RiskSlide!$A$12)/260),$C74,$B74,RiskSlide!$H103)</f>
        <v>9967.7956804054393</v>
      </c>
      <c r="CK74">
        <f>PnL((($D$7*(1+CK$2))+($D$5-$D$6)),$E74,(RiskSlide!$A$7),($G74+CK$3),((RiskSlide!$A$12)/260),$C74,$B74,RiskSlide!$H103)</f>
        <v>9985.3275043425037</v>
      </c>
      <c r="CL74">
        <f>PnL((($D$7*(1+CL$2))+($D$5-$D$6)),$E74,(RiskSlide!$A$7),($G74+CL$3),((RiskSlide!$A$12)/260),$C74,$B74,RiskSlide!$H103)</f>
        <v>10027.062090989546</v>
      </c>
      <c r="CM74">
        <f>PnL((($D$7*(1+CM$2))+($D$5-$D$6)),$E74,(RiskSlide!$A$7),($G74+CM$3),((RiskSlide!$A$12)/260),$C74,$B74,RiskSlide!$H103)</f>
        <v>10027.570848116133</v>
      </c>
    </row>
    <row r="75" spans="1:91" x14ac:dyDescent="0.25">
      <c r="A75" t="s">
        <v>70</v>
      </c>
      <c r="B75">
        <v>-1</v>
      </c>
      <c r="C75">
        <v>0</v>
      </c>
      <c r="E75">
        <v>1725</v>
      </c>
      <c r="F75">
        <v>3.5000000000000001E-3</v>
      </c>
      <c r="G75">
        <v>0.15509000000000001</v>
      </c>
      <c r="K75">
        <f>PnL((($D$7*(1+K$2))+($D$5-$D$6)),$E75,(RiskSlide!$A$7),($G75+K$3),((RiskSlide!$A$12)/260),$C75,$B75,RiskSlide!$H104)</f>
        <v>-6226.7997665873309</v>
      </c>
      <c r="L75">
        <f>PnL((($D$7*(1+L$2))+($D$5-$D$6)),$E75,(RiskSlide!$A$7),($G75+L$3),((RiskSlide!$A$12)/260),$C75,$B75,RiskSlide!$H104)</f>
        <v>-5951.7847324933118</v>
      </c>
      <c r="M75">
        <f>PnL((($D$7*(1+M$2))+($D$5-$D$6)),$E75,(RiskSlide!$A$7),($G75+M$3),((RiskSlide!$A$12)/260),$C75,$B75,RiskSlide!$H104)</f>
        <v>-5793.0060235780647</v>
      </c>
      <c r="N75">
        <f>PnL((($D$7*(1+N$2))+($D$5-$D$6)),$E75,(RiskSlide!$A$7),($G75+N$3),((RiskSlide!$A$12)/260),$C75,$B75,RiskSlide!$H104)</f>
        <v>-5777.8500381632657</v>
      </c>
      <c r="O75">
        <f>PnL((($D$7*(1+O$2))+($D$5-$D$6)),$E75,(RiskSlide!$A$7),($G75+O$3),((RiskSlide!$A$12)/260),$C75,$B75,RiskSlide!$H104)</f>
        <v>-5763.8210509567698</v>
      </c>
      <c r="P75">
        <f>PnL((($D$7*(1+P$2))+($D$5-$D$6)),$E75,(RiskSlide!$A$7),($G75+P$3),((RiskSlide!$A$12)/260),$C75,$B75,RiskSlide!$H104)</f>
        <v>-5750.9350945787137</v>
      </c>
      <c r="Q75">
        <f>PnL((($D$7*(1+Q$2))+($D$5-$D$6)),$E75,(RiskSlide!$A$7),($G75+Q$3),((RiskSlide!$A$12)/260),$C75,$B75,RiskSlide!$H104)</f>
        <v>-5739.2025020559713</v>
      </c>
      <c r="R75">
        <f>PnL((($D$7*(1+R$2))+($D$5-$D$6)),$E75,(RiskSlide!$A$7),($G75+R$3),((RiskSlide!$A$12)/260),$C75,$B75,RiskSlide!$H104)</f>
        <v>-5685.1702008784087</v>
      </c>
      <c r="S75">
        <f>PnL((($D$7*(1+S$2))+($D$5-$D$6)),$E75,(RiskSlide!$A$7),($G75+S$3),((RiskSlide!$A$12)/260),$C75,$B75,RiskSlide!$H104)</f>
        <v>-5677.87478381039</v>
      </c>
      <c r="T75">
        <f>PnL((($D$7*(1+T$2))+($D$5-$D$6)),$E75,(RiskSlide!$A$7),($G75+T$3),((RiskSlide!$A$12)/260),$C75,$B75,RiskSlide!$H104)</f>
        <v>-3019.1067622034752</v>
      </c>
      <c r="U75">
        <f>PnL((($D$7*(1+U$2))+($D$5-$D$6)),$E75,(RiskSlide!$A$7),($G75+U$3),((RiskSlide!$A$12)/260),$C75,$B75,RiskSlide!$H104)</f>
        <v>-2528.4024880646284</v>
      </c>
      <c r="V75">
        <f>PnL((($D$7*(1+V$2))+($D$5-$D$6)),$E75,(RiskSlide!$A$7),($G75+V$3),((RiskSlide!$A$12)/260),$C75,$B75,RiskSlide!$H104)</f>
        <v>-2146.5408708795194</v>
      </c>
      <c r="W75">
        <f>PnL((($D$7*(1+W$2))+($D$5-$D$6)),$E75,(RiskSlide!$A$7),($G75+W$3),((RiskSlide!$A$12)/260),$C75,$B75,RiskSlide!$H104)</f>
        <v>-2099.854813149298</v>
      </c>
      <c r="X75">
        <f>PnL((($D$7*(1+X$2))+($D$5-$D$6)),$E75,(RiskSlide!$A$7),($G75+X$3),((RiskSlide!$A$12)/260),$C75,$B75,RiskSlide!$H104)</f>
        <v>-2053.4716792237332</v>
      </c>
      <c r="Y75">
        <f>PnL((($D$7*(1+Y$2))+($D$5-$D$6)),$E75,(RiskSlide!$A$7),($G75+Y$3),((RiskSlide!$A$12)/260),$C75,$B75,RiskSlide!$H104)</f>
        <v>-2007.4195831097909</v>
      </c>
      <c r="Z75">
        <f>PnL((($D$7*(1+Z$2))+($D$5-$D$6)),$E75,(RiskSlide!$A$7),($G75+Z$3),((RiskSlide!$A$12)/260),$C75,$B75,RiskSlide!$H104)</f>
        <v>-1961.7301158364085</v>
      </c>
      <c r="AA75">
        <f>PnL((($D$7*(1+AA$2))+($D$5-$D$6)),$E75,(RiskSlide!$A$7),($G75+AA$3),((RiskSlide!$A$12)/260),$C75,$B75,RiskSlide!$H104)</f>
        <v>-1614.7413740684015</v>
      </c>
      <c r="AB75">
        <f>PnL((($D$7*(1+AB$2))+($D$5-$D$6)),$E75,(RiskSlide!$A$7),($G75+AB$3),((RiskSlide!$A$12)/260),$C75,$B75,RiskSlide!$H104)</f>
        <v>-1284.4326909307283</v>
      </c>
      <c r="AC75">
        <f>PnL((($D$7*(1+AC$2))+($D$5-$D$6)),$E75,(RiskSlide!$A$7),($G75+AC$3),((RiskSlide!$A$12)/260),$C75,$B75,RiskSlide!$H104)</f>
        <v>-1266.543439511011</v>
      </c>
      <c r="AD75">
        <f>PnL((($D$7*(1+AD$2))+($D$5-$D$6)),$E75,(RiskSlide!$A$7),($G75+AD$3),((RiskSlide!$A$12)/260),$C75,$B75,RiskSlide!$H104)</f>
        <v>-758.9669914516918</v>
      </c>
      <c r="AE75">
        <f>PnL((($D$7*(1+AE$2))+($D$5-$D$6)),$E75,(RiskSlide!$A$7),($G75+AE$3),((RiskSlide!$A$12)/260),$C75,$B75,RiskSlide!$H104)</f>
        <v>-361.14561911976182</v>
      </c>
      <c r="AF75">
        <f>PnL((($D$7*(1+AF$2))+($D$5-$D$6)),$E75,(RiskSlide!$A$7),($G75+AF$3),((RiskSlide!$A$12)/260),$C75,$B75,RiskSlide!$H104)</f>
        <v>-312.2293814398148</v>
      </c>
      <c r="AG75">
        <f>PnL((($D$7*(1+AG$2))+($D$5-$D$6)),$E75,(RiskSlide!$A$7),($G75+AG$3),((RiskSlide!$A$12)/260),$C75,$B75,RiskSlide!$H104)</f>
        <v>-263.54910275928489</v>
      </c>
      <c r="AH75">
        <f>PnL((($D$7*(1+AH$2))+($D$5-$D$6)),$E75,(RiskSlide!$A$7),($G75+AH$3),((RiskSlide!$A$12)/260),$C75,$B75,RiskSlide!$H104)</f>
        <v>-215.12716652178199</v>
      </c>
      <c r="AI75">
        <f>PnL((($D$7*(1+AI$2))+($D$5-$D$6)),$E75,(RiskSlide!$A$7),($G75+AI$3),((RiskSlide!$A$12)/260),$C75,$B75,RiskSlide!$H104)</f>
        <v>-166.98880569852861</v>
      </c>
      <c r="AJ75">
        <f>PnL((($D$7*(1+AJ$2))+($D$5-$D$6)),$E75,(RiskSlide!$A$7),($G75+AJ$3),((RiskSlide!$A$12)/260),$C75,$B75,RiskSlide!$H104)</f>
        <v>203.47710251136846</v>
      </c>
      <c r="AK75">
        <f>PnL((($D$7*(1+AK$2))+($D$5-$D$6)),$E75,(RiskSlide!$A$7),($G75+AK$3),((RiskSlide!$A$12)/260),$C75,$B75,RiskSlide!$H104)</f>
        <v>580.67623860872573</v>
      </c>
      <c r="AL75">
        <f>PnL((($D$7*(1+AL$2))+($D$5-$D$6)),$E75,(RiskSlide!$A$7),($G75+AL$3),((RiskSlide!$A$12)/260),$C75,$B75,RiskSlide!$H104)</f>
        <v>-1099.4923368586087</v>
      </c>
      <c r="AM75">
        <f>PnL((($D$7*(1+AM$2))+($D$5-$D$6)),$E75,(RiskSlide!$A$7),($G75+AM$3),((RiskSlide!$A$12)/260),$C75,$B75,RiskSlide!$H104)</f>
        <v>-602.04861376675183</v>
      </c>
      <c r="AN75">
        <f>PnL((($D$7*(1+AN$2))+($D$5-$D$6)),$E75,(RiskSlide!$A$7),($G75+AN$3),((RiskSlide!$A$12)/260),$C75,$B75,RiskSlide!$H104)</f>
        <v>-216.95680766539738</v>
      </c>
      <c r="AO75">
        <f>PnL((($D$7*(1+AO$2))+($D$5-$D$6)),$E75,(RiskSlide!$A$7),($G75+AO$3),((RiskSlide!$A$12)/260),$C75,$B75,RiskSlide!$H104)</f>
        <v>-170.0724671941515</v>
      </c>
      <c r="AP75">
        <f>PnL((($D$7*(1+AP$2))+($D$5-$D$6)),$E75,(RiskSlide!$A$7),($G75+AP$3),((RiskSlide!$A$12)/260),$C75,$B75,RiskSlide!$H104)</f>
        <v>-123.5493201037599</v>
      </c>
      <c r="AQ75">
        <f>PnL((($D$7*(1+AQ$2))+($D$5-$D$6)),$E75,(RiskSlide!$A$7),($G75+AQ$3),((RiskSlide!$A$12)/260),$C75,$B75,RiskSlide!$H104)</f>
        <v>-77.420359797227434</v>
      </c>
      <c r="AR75">
        <f>PnL((($D$7*(1+AR$2))+($D$5-$D$6)),$E75,(RiskSlide!$A$7),($G75+AR$3),((RiskSlide!$A$12)/260),$C75,$B75,RiskSlide!$H104)</f>
        <v>-31.722571112862852</v>
      </c>
      <c r="AS75">
        <f>PnL((($D$7*(1+AS$2))+($D$5-$D$6)),$E75,(RiskSlide!$A$7),($G75+AS$3),((RiskSlide!$A$12)/260),$C75,$B75,RiskSlide!$H104)</f>
        <v>311.99680028043986</v>
      </c>
      <c r="AT75">
        <f>PnL((($D$7*(1+AT$2))+($D$5-$D$6)),$E75,(RiskSlide!$A$7),($G75+AT$3),((RiskSlide!$A$12)/260),$C75,$B75,RiskSlide!$H104)</f>
        <v>623.82430585585234</v>
      </c>
      <c r="AU75">
        <f>PnL((($D$7*(1+AU$2))+($D$5-$D$6)),$E75,(RiskSlide!$A$7),($G75+AU$3),((RiskSlide!$A$12)/260),$C75,$B75,RiskSlide!$H104)</f>
        <v>-943.30980513156248</v>
      </c>
      <c r="AV75">
        <f>PnL((($D$7*(1+AV$2))+($D$5-$D$6)),$E75,(RiskSlide!$A$7),($G75+AV$3),((RiskSlide!$A$12)/260),$C75,$B75,RiskSlide!$H104)</f>
        <v>-458.2939973891456</v>
      </c>
      <c r="AW75">
        <f>PnL((($D$7*(1+AW$2))+($D$5-$D$6)),$E75,(RiskSlide!$A$7),($G75+AW$3),((RiskSlide!$A$12)/260),$C75,$B75,RiskSlide!$H104)</f>
        <v>-88.463864330151409</v>
      </c>
      <c r="AX75">
        <f>PnL((($D$7*(1+AX$2))+($D$5-$D$6)),$E75,(RiskSlide!$A$7),($G75+AX$3),((RiskSlide!$A$12)/260),$C75,$B75,RiskSlide!$H104)</f>
        <v>-43.98229629559296</v>
      </c>
      <c r="AY75">
        <f>PnL((($D$7*(1+AY$2))+($D$5-$D$6)),$E75,(RiskSlide!$A$7),($G75+AY$3),((RiskSlide!$A$12)/260),$C75,$B75,RiskSlide!$H104)</f>
        <v>0</v>
      </c>
      <c r="AZ75">
        <f>PnL((($D$7*(1+AZ$2))+($D$5-$D$6)),$E75,(RiskSlide!$A$7),($G75+AZ$3),((RiskSlide!$A$12)/260),$C75,$B75,RiskSlide!$H104)</f>
        <v>43.43949813030008</v>
      </c>
      <c r="BA75">
        <f>PnL((($D$7*(1+BA$2))+($D$5-$D$6)),$E75,(RiskSlide!$A$7),($G75+BA$3),((RiskSlide!$A$12)/260),$C75,$B75,RiskSlide!$H104)</f>
        <v>86.287755817912171</v>
      </c>
      <c r="BB75">
        <f>PnL((($D$7*(1+BB$2))+($D$5-$D$6)),$E75,(RiskSlide!$A$7),($G75+BB$3),((RiskSlide!$A$12)/260),$C75,$B75,RiskSlide!$H104)</f>
        <v>399.73639900096032</v>
      </c>
      <c r="BC75">
        <f>PnL((($D$7*(1+BC$2))+($D$5-$D$6)),$E75,(RiskSlide!$A$7),($G75+BC$3),((RiskSlide!$A$12)/260),$C75,$B75,RiskSlide!$H104)</f>
        <v>648.24220668651333</v>
      </c>
      <c r="BD75">
        <f>PnL((($D$7*(1+BD$2))+($D$5-$D$6)),$E75,(RiskSlide!$A$7),($G75+BD$3),((RiskSlide!$A$12)/260),$C75,$B75,RiskSlide!$H104)</f>
        <v>-797.6755781983087</v>
      </c>
      <c r="BE75">
        <f>PnL((($D$7*(1+BE$2))+($D$5-$D$6)),$E75,(RiskSlide!$A$7),($G75+BE$3),((RiskSlide!$A$12)/260),$C75,$B75,RiskSlide!$H104)</f>
        <v>-327.16005745419352</v>
      </c>
      <c r="BF75">
        <f>PnL((($D$7*(1+BF$2))+($D$5-$D$6)),$E75,(RiskSlide!$A$7),($G75+BF$3),((RiskSlide!$A$12)/260),$C75,$B75,RiskSlide!$H104)</f>
        <v>25.260428623676034</v>
      </c>
      <c r="BG75">
        <f>PnL((($D$7*(1+BG$2))+($D$5-$D$6)),$E75,(RiskSlide!$A$7),($G75+BG$3),((RiskSlide!$A$12)/260),$C75,$B75,RiskSlide!$H104)</f>
        <v>67.041245066627653</v>
      </c>
      <c r="BH75">
        <f>PnL((($D$7*(1+BH$2))+($D$5-$D$6)),$E75,(RiskSlide!$A$7),($G75+BH$3),((RiskSlide!$A$12)/260),$C75,$B75,RiskSlide!$H104)</f>
        <v>108.17997649116364</v>
      </c>
      <c r="BI75">
        <f>PnL((($D$7*(1+BI$2))+($D$5-$D$6)),$E75,(RiskSlide!$A$7),($G75+BI$3),((RiskSlide!$A$12)/260),$C75,$B75,RiskSlide!$H104)</f>
        <v>148.62375642081531</v>
      </c>
      <c r="BJ75">
        <f>PnL((($D$7*(1+BJ$2))+($D$5-$D$6)),$E75,(RiskSlide!$A$7),($G75+BJ$3),((RiskSlide!$A$12)/260),$C75,$B75,RiskSlide!$H104)</f>
        <v>188.3142710679607</v>
      </c>
      <c r="BK75">
        <f>PnL((($D$7*(1+BK$2))+($D$5-$D$6)),$E75,(RiskSlide!$A$7),($G75+BK$3),((RiskSlide!$A$12)/260),$C75,$B75,RiskSlide!$H104)</f>
        <v>469.39039498189459</v>
      </c>
      <c r="BL75">
        <f>PnL((($D$7*(1+BL$2))+($D$5-$D$6)),$E75,(RiskSlide!$A$7),($G75+BL$3),((RiskSlide!$A$12)/260),$C75,$B75,RiskSlide!$H104)</f>
        <v>661.07550280557564</v>
      </c>
      <c r="BM75">
        <f>PnL((($D$7*(1+BM$2))+($D$5-$D$6)),$E75,(RiskSlide!$A$7),($G75+BM$3),((RiskSlide!$A$12)/260),$C75,$B75,RiskSlide!$H104)</f>
        <v>-662.23766523011989</v>
      </c>
      <c r="BN75">
        <f>PnL((($D$7*(1+BN$2))+($D$5-$D$6)),$E75,(RiskSlide!$A$7),($G75+BN$3),((RiskSlide!$A$12)/260),$C75,$B75,RiskSlide!$H104)</f>
        <v>-208.05071056346662</v>
      </c>
      <c r="BO75">
        <f>PnL((($D$7*(1+BO$2))+($D$5-$D$6)),$E75,(RiskSlide!$A$7),($G75+BO$3),((RiskSlide!$A$12)/260),$C75,$B75,RiskSlide!$H104)</f>
        <v>125.22214643136635</v>
      </c>
      <c r="BP75">
        <f>PnL((($D$7*(1+BP$2))+($D$5-$D$6)),$E75,(RiskSlide!$A$7),($G75+BP$3),((RiskSlide!$A$12)/260),$C75,$B75,RiskSlide!$H104)</f>
        <v>164.08047993553794</v>
      </c>
      <c r="BQ75">
        <f>PnL((($D$7*(1+BQ$2))+($D$5-$D$6)),$E75,(RiskSlide!$A$7),($G75+BQ$3),((RiskSlide!$A$12)/260),$C75,$B75,RiskSlide!$H104)</f>
        <v>202.15708415840368</v>
      </c>
      <c r="BR75">
        <f>PnL((($D$7*(1+BR$2))+($D$5-$D$6)),$E75,(RiskSlide!$A$7),($G75+BR$3),((RiskSlide!$A$12)/260),$C75,$B75,RiskSlide!$H104)</f>
        <v>239.39191100527921</v>
      </c>
      <c r="BS75">
        <f>PnL((($D$7*(1+BS$2))+($D$5-$D$6)),$E75,(RiskSlide!$A$7),($G75+BS$3),((RiskSlide!$A$12)/260),$C75,$B75,RiskSlide!$H104)</f>
        <v>275.71944700761151</v>
      </c>
      <c r="BT75">
        <f>PnL((($D$7*(1+BT$2))+($D$5-$D$6)),$E75,(RiskSlide!$A$7),($G75+BT$3),((RiskSlide!$A$12)/260),$C75,$B75,RiskSlide!$H104)</f>
        <v>523.67487653868352</v>
      </c>
      <c r="BU75">
        <f>PnL((($D$7*(1+BU$2))+($D$5-$D$6)),$E75,(RiskSlide!$A$7),($G75+BU$3),((RiskSlide!$A$12)/260),$C75,$B75,RiskSlide!$H104)</f>
        <v>667.33469292658151</v>
      </c>
      <c r="BV75">
        <f>PnL((($D$7*(1+BV$2))+($D$5-$D$6)),$E75,(RiskSlide!$A$7),($G75+BV$3),((RiskSlide!$A$12)/260),$C75,$B75,RiskSlide!$H104)</f>
        <v>103.37119096669483</v>
      </c>
      <c r="BW75">
        <f>PnL((($D$7*(1+BW$2))+($D$5-$D$6)),$E75,(RiskSlide!$A$7),($G75+BW$3),((RiskSlide!$A$12)/260),$C75,$B75,RiskSlide!$H104)</f>
        <v>392.55586686271187</v>
      </c>
      <c r="BX75">
        <f>PnL((($D$7*(1+BX$2))+($D$5-$D$6)),$E75,(RiskSlide!$A$7),($G75+BX$3),((RiskSlide!$A$12)/260),$C75,$B75,RiskSlide!$H104)</f>
        <v>557.10088746478868</v>
      </c>
      <c r="BY75">
        <f>PnL((($D$7*(1+BY$2))+($D$5-$D$6)),$E75,(RiskSlide!$A$7),($G75+BY$3),((RiskSlide!$A$12)/260),$C75,$B75,RiskSlide!$H104)</f>
        <v>572.61219397249545</v>
      </c>
      <c r="BZ75">
        <f>PnL((($D$7*(1+BZ$2))+($D$5-$D$6)),$E75,(RiskSlide!$A$7),($G75+BZ$3),((RiskSlide!$A$12)/260),$C75,$B75,RiskSlide!$H104)</f>
        <v>586.92005180220258</v>
      </c>
      <c r="CA75">
        <f>PnL((($D$7*(1+CA$2))+($D$5-$D$6)),$E75,(RiskSlide!$A$7),($G75+CA$3),((RiskSlide!$A$12)/260),$C75,$B75,RiskSlide!$H104)</f>
        <v>600.01180559842521</v>
      </c>
      <c r="CB75">
        <f>PnL((($D$7*(1+CB$2))+($D$5-$D$6)),$E75,(RiskSlide!$A$7),($G75+CB$3),((RiskSlide!$A$12)/260),$C75,$B75,RiskSlide!$H104)</f>
        <v>611.88140450404808</v>
      </c>
      <c r="CC75">
        <f>PnL((($D$7*(1+CC$2))+($D$5-$D$6)),$E75,(RiskSlide!$A$7),($G75+CC$3),((RiskSlide!$A$12)/260),$C75,$B75,RiskSlide!$H104)</f>
        <v>665.36351205389815</v>
      </c>
      <c r="CD75">
        <f>PnL((($D$7*(1+CD$2))+($D$5-$D$6)),$E75,(RiskSlide!$A$7),($G75+CD$3),((RiskSlide!$A$12)/260),$C75,$B75,RiskSlide!$H104)</f>
        <v>672.06457230531123</v>
      </c>
      <c r="CE75">
        <f>PnL((($D$7*(1+CE$2))+($D$5-$D$6)),$E75,(RiskSlide!$A$7),($G75+CE$3),((RiskSlide!$A$12)/260),$C75,$B75,RiskSlide!$H104)</f>
        <v>511.1980778854537</v>
      </c>
      <c r="CF75">
        <f>PnL((($D$7*(1+CF$2))+($D$5-$D$6)),$E75,(RiskSlide!$A$7),($G75+CF$3),((RiskSlide!$A$12)/260),$C75,$B75,RiskSlide!$H104)</f>
        <v>624.06496471504374</v>
      </c>
      <c r="CG75">
        <f>PnL((($D$7*(1+CG$2))+($D$5-$D$6)),$E75,(RiskSlide!$A$7),($G75+CG$3),((RiskSlide!$A$12)/260),$C75,$B75,RiskSlide!$H104)</f>
        <v>662.54424873794085</v>
      </c>
      <c r="CH75">
        <f>PnL((($D$7*(1+CH$2))+($D$5-$D$6)),$E75,(RiskSlide!$A$7),($G75+CH$3),((RiskSlide!$A$12)/260),$C75,$B75,RiskSlide!$H104)</f>
        <v>664.82303500546664</v>
      </c>
      <c r="CI75">
        <f>PnL((($D$7*(1+CI$2))+($D$5-$D$6)),$E75,(RiskSlide!$A$7),($G75+CI$3),((RiskSlide!$A$12)/260),$C75,$B75,RiskSlide!$H104)</f>
        <v>666.67807309340196</v>
      </c>
      <c r="CJ75">
        <f>PnL((($D$7*(1+CJ$2))+($D$5-$D$6)),$E75,(RiskSlide!$A$7),($G75+CJ$3),((RiskSlide!$A$12)/260),$C75,$B75,RiskSlide!$H104)</f>
        <v>668.15749722938381</v>
      </c>
      <c r="CK75">
        <f>PnL((($D$7*(1+CK$2))+($D$5-$D$6)),$E75,(RiskSlide!$A$7),($G75+CK$3),((RiskSlide!$A$12)/260),$C75,$B75,RiskSlide!$H104)</f>
        <v>669.31015587592719</v>
      </c>
      <c r="CL75">
        <f>PnL((($D$7*(1+CL$2))+($D$5-$D$6)),$E75,(RiskSlide!$A$7),($G75+CL$3),((RiskSlide!$A$12)/260),$C75,$B75,RiskSlide!$H104)</f>
        <v>672.03409727491658</v>
      </c>
      <c r="CM75">
        <f>PnL((($D$7*(1+CM$2))+($D$5-$D$6)),$E75,(RiskSlide!$A$7),($G75+CM$3),((RiskSlide!$A$12)/260),$C75,$B75,RiskSlide!$H104)</f>
        <v>672.06501365717486</v>
      </c>
    </row>
    <row r="76" spans="1:91" x14ac:dyDescent="0.25">
      <c r="A76" t="s">
        <v>71</v>
      </c>
      <c r="B76">
        <v>-1</v>
      </c>
      <c r="C76">
        <v>0</v>
      </c>
      <c r="E76">
        <v>1730</v>
      </c>
      <c r="F76">
        <v>3.5000000000000001E-3</v>
      </c>
      <c r="G76">
        <v>0.15262999999999999</v>
      </c>
      <c r="K76">
        <f>PnL((($D$7*(1+K$2))+($D$5-$D$6)),$E76,(RiskSlide!$A$7),($G76+K$3),((RiskSlide!$A$12)/260),$C76,$B76,RiskSlide!$H105)</f>
        <v>-6376.0311796748792</v>
      </c>
      <c r="L76">
        <f>PnL((($D$7*(1+L$2))+($D$5-$D$6)),$E76,(RiskSlide!$A$7),($G76+L$3),((RiskSlide!$A$12)/260),$C76,$B76,RiskSlide!$H105)</f>
        <v>-6116.7526168871345</v>
      </c>
      <c r="M76">
        <f>PnL((($D$7*(1+M$2))+($D$5-$D$6)),$E76,(RiskSlide!$A$7),($G76+M$3),((RiskSlide!$A$12)/260),$C76,$B76,RiskSlide!$H105)</f>
        <v>-5972.6025735369885</v>
      </c>
      <c r="N76">
        <f>PnL((($D$7*(1+N$2))+($D$5-$D$6)),$E76,(RiskSlide!$A$7),($G76+N$3),((RiskSlide!$A$12)/260),$C76,$B76,RiskSlide!$H105)</f>
        <v>-5959.3070017791033</v>
      </c>
      <c r="O76">
        <f>PnL((($D$7*(1+O$2))+($D$5-$D$6)),$E76,(RiskSlide!$A$7),($G76+O$3),((RiskSlide!$A$12)/260),$C76,$B76,RiskSlide!$H105)</f>
        <v>-5947.1214836974978</v>
      </c>
      <c r="P76">
        <f>PnL((($D$7*(1+P$2))+($D$5-$D$6)),$E76,(RiskSlide!$A$7),($G76+P$3),((RiskSlide!$A$12)/260),$C76,$B76,RiskSlide!$H105)</f>
        <v>-5936.0517589989568</v>
      </c>
      <c r="Q76">
        <f>PnL((($D$7*(1+Q$2))+($D$5-$D$6)),$E76,(RiskSlide!$A$7),($G76+Q$3),((RiskSlide!$A$12)/260),$C76,$B76,RiskSlide!$H105)</f>
        <v>-5926.0966150955201</v>
      </c>
      <c r="R76">
        <f>PnL((($D$7*(1+R$2))+($D$5-$D$6)),$E76,(RiskSlide!$A$7),($G76+R$3),((RiskSlide!$A$12)/260),$C76,$B76,RiskSlide!$H105)</f>
        <v>-5883.2029940127259</v>
      </c>
      <c r="S76">
        <f>PnL((($D$7*(1+S$2))+($D$5-$D$6)),$E76,(RiskSlide!$A$7),($G76+S$3),((RiskSlide!$A$12)/260),$C76,$B76,RiskSlide!$H105)</f>
        <v>-5878.706776144958</v>
      </c>
      <c r="T76">
        <f>PnL((($D$7*(1+T$2))+($D$5-$D$6)),$E76,(RiskSlide!$A$7),($G76+T$3),((RiskSlide!$A$12)/260),$C76,$B76,RiskSlide!$H105)</f>
        <v>-3104.503748338806</v>
      </c>
      <c r="U76">
        <f>PnL((($D$7*(1+U$2))+($D$5-$D$6)),$E76,(RiskSlide!$A$7),($G76+U$3),((RiskSlide!$A$12)/260),$C76,$B76,RiskSlide!$H105)</f>
        <v>-2620.6942923712459</v>
      </c>
      <c r="V76">
        <f>PnL((($D$7*(1+V$2))+($D$5-$D$6)),$E76,(RiskSlide!$A$7),($G76+V$3),((RiskSlide!$A$12)/260),$C76,$B76,RiskSlide!$H105)</f>
        <v>-2247.5898690474023</v>
      </c>
      <c r="W76">
        <f>PnL((($D$7*(1+W$2))+($D$5-$D$6)),$E76,(RiskSlide!$A$7),($G76+W$3),((RiskSlide!$A$12)/260),$C76,$B76,RiskSlide!$H105)</f>
        <v>-2202.3123211538232</v>
      </c>
      <c r="X76">
        <f>PnL((($D$7*(1+X$2))+($D$5-$D$6)),$E76,(RiskSlide!$A$7),($G76+X$3),((RiskSlide!$A$12)/260),$C76,$B76,RiskSlide!$H105)</f>
        <v>-2157.4277647645831</v>
      </c>
      <c r="Y76">
        <f>PnL((($D$7*(1+Y$2))+($D$5-$D$6)),$E76,(RiskSlide!$A$7),($G76+Y$3),((RiskSlide!$A$12)/260),$C76,$B76,RiskSlide!$H105)</f>
        <v>-2112.9722863137031</v>
      </c>
      <c r="Z76">
        <f>PnL((($D$7*(1+Z$2))+($D$5-$D$6)),$E76,(RiskSlide!$A$7),($G76+Z$3),((RiskSlide!$A$12)/260),$C76,$B76,RiskSlide!$H105)</f>
        <v>-2068.9863423542592</v>
      </c>
      <c r="AA76">
        <f>PnL((($D$7*(1+AA$2))+($D$5-$D$6)),$E76,(RiskSlide!$A$7),($G76+AA$3),((RiskSlide!$A$12)/260),$C76,$B76,RiskSlide!$H105)</f>
        <v>-1740.9314345369864</v>
      </c>
      <c r="AB76">
        <f>PnL((($D$7*(1+AB$2))+($D$5-$D$6)),$E76,(RiskSlide!$A$7),($G76+AB$3),((RiskSlide!$A$12)/260),$C76,$B76,RiskSlide!$H105)</f>
        <v>-1458.0235545137555</v>
      </c>
      <c r="AC76">
        <f>PnL((($D$7*(1+AC$2))+($D$5-$D$6)),$E76,(RiskSlide!$A$7),($G76+AC$3),((RiskSlide!$A$12)/260),$C76,$B76,RiskSlide!$H105)</f>
        <v>-1298.1980300058524</v>
      </c>
      <c r="AD76">
        <f>PnL((($D$7*(1+AD$2))+($D$5-$D$6)),$E76,(RiskSlide!$A$7),($G76+AD$3),((RiskSlide!$A$12)/260),$C76,$B76,RiskSlide!$H105)</f>
        <v>-784.76534619640574</v>
      </c>
      <c r="AE76">
        <f>PnL((($D$7*(1+AE$2))+($D$5-$D$6)),$E76,(RiskSlide!$A$7),($G76+AE$3),((RiskSlide!$A$12)/260),$C76,$B76,RiskSlide!$H105)</f>
        <v>-380.24787849940935</v>
      </c>
      <c r="AF76">
        <f>PnL((($D$7*(1+AF$2))+($D$5-$D$6)),$E76,(RiskSlide!$A$7),($G76+AF$3),((RiskSlide!$A$12)/260),$C76,$B76,RiskSlide!$H105)</f>
        <v>-330.30369973979532</v>
      </c>
      <c r="AG76">
        <f>PnL((($D$7*(1+AG$2))+($D$5-$D$6)),$E76,(RiskSlide!$A$7),($G76+AG$3),((RiskSlide!$A$12)/260),$C76,$B76,RiskSlide!$H105)</f>
        <v>-280.54132808110239</v>
      </c>
      <c r="AH76">
        <f>PnL((($D$7*(1+AH$2))+($D$5-$D$6)),$E76,(RiskSlide!$A$7),($G76+AH$3),((RiskSlide!$A$12)/260),$C76,$B76,RiskSlide!$H105)</f>
        <v>-230.97858948102044</v>
      </c>
      <c r="AI76">
        <f>PnL((($D$7*(1+AI$2))+($D$5-$D$6)),$E76,(RiskSlide!$A$7),($G76+AI$3),((RiskSlide!$A$12)/260),$C76,$B76,RiskSlide!$H105)</f>
        <v>-181.63566609856048</v>
      </c>
      <c r="AJ76">
        <f>PnL((($D$7*(1+AJ$2))+($D$5-$D$6)),$E76,(RiskSlide!$A$7),($G76+AJ$3),((RiskSlide!$A$12)/260),$C76,$B76,RiskSlide!$H105)</f>
        <v>201.58637971163671</v>
      </c>
      <c r="AK76">
        <f>PnL((($D$7*(1+AK$2))+($D$5-$D$6)),$E76,(RiskSlide!$A$7),($G76+AK$3),((RiskSlide!$A$12)/260),$C76,$B76,RiskSlide!$H105)</f>
        <v>608.84792100173399</v>
      </c>
      <c r="AL76">
        <f>PnL((($D$7*(1+AL$2))+($D$5-$D$6)),$E76,(RiskSlide!$A$7),($G76+AL$3),((RiskSlide!$A$12)/260),$C76,$B76,RiskSlide!$H105)</f>
        <v>-1125.1428357582597</v>
      </c>
      <c r="AM76">
        <f>PnL((($D$7*(1+AM$2))+($D$5-$D$6)),$E76,(RiskSlide!$A$7),($G76+AM$3),((RiskSlide!$A$12)/260),$C76,$B76,RiskSlide!$H105)</f>
        <v>-620.65394924221096</v>
      </c>
      <c r="AN76">
        <f>PnL((($D$7*(1+AN$2))+($D$5-$D$6)),$E76,(RiskSlide!$A$7),($G76+AN$3),((RiskSlide!$A$12)/260),$C76,$B76,RiskSlide!$H105)</f>
        <v>-227.57577141597949</v>
      </c>
      <c r="AO76">
        <f>PnL((($D$7*(1+AO$2))+($D$5-$D$6)),$E76,(RiskSlide!$A$7),($G76+AO$3),((RiskSlide!$A$12)/260),$C76,$B76,RiskSlide!$H105)</f>
        <v>-179.4762900154808</v>
      </c>
      <c r="AP76">
        <f>PnL((($D$7*(1+AP$2))+($D$5-$D$6)),$E76,(RiskSlide!$A$7),($G76+AP$3),((RiskSlide!$A$12)/260),$C76,$B76,RiskSlide!$H105)</f>
        <v>-131.67783408433138</v>
      </c>
      <c r="AQ76">
        <f>PnL((($D$7*(1+AQ$2))+($D$5-$D$6)),$E76,(RiskSlide!$A$7),($G76+AQ$3),((RiskSlide!$A$12)/260),$C76,$B76,RiskSlide!$H105)</f>
        <v>-84.208921941382187</v>
      </c>
      <c r="AR76">
        <f>PnL((($D$7*(1+AR$2))+($D$5-$D$6)),$E76,(RiskSlide!$A$7),($G76+AR$3),((RiskSlide!$A$12)/260),$C76,$B76,RiskSlide!$H105)</f>
        <v>-37.10167992416018</v>
      </c>
      <c r="AS76">
        <f>PnL((($D$7*(1+AS$2))+($D$5-$D$6)),$E76,(RiskSlide!$A$7),($G76+AS$3),((RiskSlide!$A$12)/260),$C76,$B76,RiskSlide!$H105)</f>
        <v>321.11730879126981</v>
      </c>
      <c r="AT76">
        <f>PnL((($D$7*(1+AT$2))+($D$5-$D$6)),$E76,(RiskSlide!$A$7),($G76+AT$3),((RiskSlide!$A$12)/260),$C76,$B76,RiskSlide!$H105)</f>
        <v>661.95737126572135</v>
      </c>
      <c r="AU76">
        <f>PnL((($D$7*(1+AU$2))+($D$5-$D$6)),$E76,(RiskSlide!$A$7),($G76+AU$3),((RiskSlide!$A$12)/260),$C76,$B76,RiskSlide!$H105)</f>
        <v>-963.19095165993076</v>
      </c>
      <c r="AV76">
        <f>PnL((($D$7*(1+AV$2))+($D$5-$D$6)),$E76,(RiskSlide!$A$7),($G76+AV$3),((RiskSlide!$A$12)/260),$C76,$B76,RiskSlide!$H105)</f>
        <v>-470.0941729567603</v>
      </c>
      <c r="AW76">
        <f>PnL((($D$7*(1+AW$2))+($D$5-$D$6)),$E76,(RiskSlide!$A$7),($G76+AW$3),((RiskSlide!$A$12)/260),$C76,$B76,RiskSlide!$H105)</f>
        <v>-91.237592999715389</v>
      </c>
      <c r="AX76">
        <f>PnL((($D$7*(1+AX$2))+($D$5-$D$6)),$E76,(RiskSlide!$A$7),($G76+AX$3),((RiskSlide!$A$12)/260),$C76,$B76,RiskSlide!$H105)</f>
        <v>-45.399869957770989</v>
      </c>
      <c r="AY76">
        <f>PnL((($D$7*(1+AY$2))+($D$5-$D$6)),$E76,(RiskSlide!$A$7),($G76+AY$3),((RiskSlide!$A$12)/260),$C76,$B76,RiskSlide!$H105)</f>
        <v>0</v>
      </c>
      <c r="AZ76">
        <f>PnL((($D$7*(1+AZ$2))+($D$5-$D$6)),$E76,(RiskSlide!$A$7),($G76+AZ$3),((RiskSlide!$A$12)/260),$C76,$B76,RiskSlide!$H105)</f>
        <v>44.922264667428635</v>
      </c>
      <c r="BA76">
        <f>PnL((($D$7*(1+BA$2))+($D$5-$D$6)),$E76,(RiskSlide!$A$7),($G76+BA$3),((RiskSlide!$A$12)/260),$C76,$B76,RiskSlide!$H105)</f>
        <v>89.322436841729314</v>
      </c>
      <c r="BB76">
        <f>PnL((($D$7*(1+BB$2))+($D$5-$D$6)),$E76,(RiskSlide!$A$7),($G76+BB$3),((RiskSlide!$A$12)/260),$C76,$B76,RiskSlide!$H105)</f>
        <v>418.16702054349548</v>
      </c>
      <c r="BC76">
        <f>PnL((($D$7*(1+BC$2))+($D$5-$D$6)),$E76,(RiskSlide!$A$7),($G76+BC$3),((RiskSlide!$A$12)/260),$C76,$B76,RiskSlide!$H105)</f>
        <v>692.12276667536582</v>
      </c>
      <c r="BD76">
        <f>PnL((($D$7*(1+BD$2))+($D$5-$D$6)),$E76,(RiskSlide!$A$7),($G76+BD$3),((RiskSlide!$A$12)/260),$C76,$B76,RiskSlide!$H105)</f>
        <v>-812.03711709628692</v>
      </c>
      <c r="BE76">
        <f>PnL((($D$7*(1+BE$2))+($D$5-$D$6)),$E76,(RiskSlide!$A$7),($G76+BE$3),((RiskSlide!$A$12)/260),$C76,$B76,RiskSlide!$H105)</f>
        <v>-332.56588180938707</v>
      </c>
      <c r="BF76">
        <f>PnL((($D$7*(1+BF$2))+($D$5-$D$6)),$E76,(RiskSlide!$A$7),($G76+BF$3),((RiskSlide!$A$12)/260),$C76,$B76,RiskSlide!$H105)</f>
        <v>29.66486835037756</v>
      </c>
      <c r="BG76">
        <f>PnL((($D$7*(1+BG$2))+($D$5-$D$6)),$E76,(RiskSlide!$A$7),($G76+BG$3),((RiskSlide!$A$12)/260),$C76,$B76,RiskSlide!$H105)</f>
        <v>72.896541712296425</v>
      </c>
      <c r="BH76">
        <f>PnL((($D$7*(1+BH$2))+($D$5-$D$6)),$E76,(RiskSlide!$A$7),($G76+BH$3),((RiskSlide!$A$12)/260),$C76,$B76,RiskSlide!$H105)</f>
        <v>115.5443878147679</v>
      </c>
      <c r="BI76">
        <f>PnL((($D$7*(1+BI$2))+($D$5-$D$6)),$E76,(RiskSlide!$A$7),($G76+BI$3),((RiskSlide!$A$12)/260),$C76,$B76,RiskSlide!$H105)</f>
        <v>157.55811669889965</v>
      </c>
      <c r="BJ76">
        <f>PnL((($D$7*(1+BJ$2))+($D$5-$D$6)),$E76,(RiskSlide!$A$7),($G76+BJ$3),((RiskSlide!$A$12)/260),$C76,$B76,RiskSlide!$H105)</f>
        <v>198.88191391186183</v>
      </c>
      <c r="BK76">
        <f>PnL((($D$7*(1+BK$2))+($D$5-$D$6)),$E76,(RiskSlide!$A$7),($G76+BK$3),((RiskSlide!$A$12)/260),$C76,$B76,RiskSlide!$H105)</f>
        <v>495.48221790847151</v>
      </c>
      <c r="BL76">
        <f>PnL((($D$7*(1+BL$2))+($D$5-$D$6)),$E76,(RiskSlide!$A$7),($G76+BL$3),((RiskSlide!$A$12)/260),$C76,$B76,RiskSlide!$H105)</f>
        <v>707.93254148330004</v>
      </c>
      <c r="BM76">
        <f>PnL((($D$7*(1+BM$2))+($D$5-$D$6)),$E76,(RiskSlide!$A$7),($G76+BM$3),((RiskSlide!$A$12)/260),$C76,$B76,RiskSlide!$H105)</f>
        <v>-671.34128087079716</v>
      </c>
      <c r="BN76">
        <f>PnL((($D$7*(1+BN$2))+($D$5-$D$6)),$E76,(RiskSlide!$A$7),($G76+BN$3),((RiskSlide!$A$12)/260),$C76,$B76,RiskSlide!$H105)</f>
        <v>-207.48866280366656</v>
      </c>
      <c r="BO76">
        <f>PnL((($D$7*(1+BO$2))+($D$5-$D$6)),$E76,(RiskSlide!$A$7),($G76+BO$3),((RiskSlide!$A$12)/260),$C76,$B76,RiskSlide!$H105)</f>
        <v>136.12539720612631</v>
      </c>
      <c r="BP76">
        <f>PnL((($D$7*(1+BP$2))+($D$5-$D$6)),$E76,(RiskSlide!$A$7),($G76+BP$3),((RiskSlide!$A$12)/260),$C76,$B76,RiskSlide!$H105)</f>
        <v>176.48486629009312</v>
      </c>
      <c r="BQ76">
        <f>PnL((($D$7*(1+BQ$2))+($D$5-$D$6)),$E76,(RiskSlide!$A$7),($G76+BQ$3),((RiskSlide!$A$12)/260),$C76,$B76,RiskSlide!$H105)</f>
        <v>216.11393439797837</v>
      </c>
      <c r="BR76">
        <f>PnL((($D$7*(1+BR$2))+($D$5-$D$6)),$E76,(RiskSlide!$A$7),($G76+BR$3),((RiskSlide!$A$12)/260),$C76,$B76,RiskSlide!$H105)</f>
        <v>254.95360208243198</v>
      </c>
      <c r="BS76">
        <f>PnL((($D$7*(1+BS$2))+($D$5-$D$6)),$E76,(RiskSlide!$A$7),($G76+BS$3),((RiskSlide!$A$12)/260),$C76,$B76,RiskSlide!$H105)</f>
        <v>292.93905730736469</v>
      </c>
      <c r="BT76">
        <f>PnL((($D$7*(1+BT$2))+($D$5-$D$6)),$E76,(RiskSlide!$A$7),($G76+BT$3),((RiskSlide!$A$12)/260),$C76,$B76,RiskSlide!$H105)</f>
        <v>555.90306168378447</v>
      </c>
      <c r="BU76">
        <f>PnL((($D$7*(1+BU$2))+($D$5-$D$6)),$E76,(RiskSlide!$A$7),($G76+BU$3),((RiskSlide!$A$12)/260),$C76,$B76,RiskSlide!$H105)</f>
        <v>715.56993830934891</v>
      </c>
      <c r="BV76">
        <f>PnL((($D$7*(1+BV$2))+($D$5-$D$6)),$E76,(RiskSlide!$A$7),($G76+BV$3),((RiskSlide!$A$12)/260),$C76,$B76,RiskSlide!$H105)</f>
        <v>126.41892852856245</v>
      </c>
      <c r="BW76">
        <f>PnL((($D$7*(1+BW$2))+($D$5-$D$6)),$E76,(RiskSlide!$A$7),($G76+BW$3),((RiskSlide!$A$12)/260),$C76,$B76,RiskSlide!$H105)</f>
        <v>425.69157092136152</v>
      </c>
      <c r="BX76">
        <f>PnL((($D$7*(1+BX$2))+($D$5-$D$6)),$E76,(RiskSlide!$A$7),($G76+BX$3),((RiskSlide!$A$12)/260),$C76,$B76,RiskSlide!$H105)</f>
        <v>598.17825968755324</v>
      </c>
      <c r="BY76">
        <f>PnL((($D$7*(1+BY$2))+($D$5-$D$6)),$E76,(RiskSlide!$A$7),($G76+BY$3),((RiskSlide!$A$12)/260),$C76,$B76,RiskSlide!$H105)</f>
        <v>614.59134614082132</v>
      </c>
      <c r="BZ76">
        <f>PnL((($D$7*(1+BZ$2))+($D$5-$D$6)),$E76,(RiskSlide!$A$7),($G76+BZ$3),((RiskSlide!$A$12)/260),$C76,$B76,RiskSlide!$H105)</f>
        <v>629.7659221889802</v>
      </c>
      <c r="CA76">
        <f>PnL((($D$7*(1+CA$2))+($D$5-$D$6)),$E76,(RiskSlide!$A$7),($G76+CA$3),((RiskSlide!$A$12)/260),$C76,$B76,RiskSlide!$H105)</f>
        <v>643.68411911593876</v>
      </c>
      <c r="CB76">
        <f>PnL((($D$7*(1+CB$2))+($D$5-$D$6)),$E76,(RiskSlide!$A$7),($G76+CB$3),((RiskSlide!$A$12)/260),$C76,$B76,RiskSlide!$H105)</f>
        <v>656.33454735467183</v>
      </c>
      <c r="CC76">
        <f>PnL((($D$7*(1+CC$2))+($D$5-$D$6)),$E76,(RiskSlide!$A$7),($G76+CC$3),((RiskSlide!$A$12)/260),$C76,$B76,RiskSlide!$H105)</f>
        <v>713.88118918526186</v>
      </c>
      <c r="CD76">
        <f>PnL((($D$7*(1+CD$2))+($D$5-$D$6)),$E76,(RiskSlide!$A$7),($G76+CD$3),((RiskSlide!$A$12)/260),$C76,$B76,RiskSlide!$H105)</f>
        <v>721.15132019739519</v>
      </c>
      <c r="CE76">
        <f>PnL((($D$7*(1+CE$2))+($D$5-$D$6)),$E76,(RiskSlide!$A$7),($G76+CE$3),((RiskSlide!$A$12)/260),$C76,$B76,RiskSlide!$H105)</f>
        <v>553.10053451925683</v>
      </c>
      <c r="CF76">
        <f>PnL((($D$7*(1+CF$2))+($D$5-$D$6)),$E76,(RiskSlide!$A$7),($G76+CF$3),((RiskSlide!$A$12)/260),$C76,$B76,RiskSlide!$H105)</f>
        <v>670.68888763535699</v>
      </c>
      <c r="CG76">
        <f>PnL((($D$7*(1+CG$2))+($D$5-$D$6)),$E76,(RiskSlide!$A$7),($G76+CG$3),((RiskSlide!$A$12)/260),$C76,$B76,RiskSlide!$H105)</f>
        <v>711.1339309703643</v>
      </c>
      <c r="CH76">
        <f>PnL((($D$7*(1+CH$2))+($D$5-$D$6)),$E76,(RiskSlide!$A$7),($G76+CH$3),((RiskSlide!$A$12)/260),$C76,$B76,RiskSlide!$H105)</f>
        <v>713.53782279785378</v>
      </c>
      <c r="CI76">
        <f>PnL((($D$7*(1+CI$2))+($D$5-$D$6)),$E76,(RiskSlide!$A$7),($G76+CI$3),((RiskSlide!$A$12)/260),$C76,$B76,RiskSlide!$H105)</f>
        <v>715.49487782723577</v>
      </c>
      <c r="CJ76">
        <f>PnL((($D$7*(1+CJ$2))+($D$5-$D$6)),$E76,(RiskSlide!$A$7),($G76+CJ$3),((RiskSlide!$A$12)/260),$C76,$B76,RiskSlide!$H105)</f>
        <v>717.05528397976218</v>
      </c>
      <c r="CK76">
        <f>PnL((($D$7*(1+CK$2))+($D$5-$D$6)),$E76,(RiskSlide!$A$7),($G76+CK$3),((RiskSlide!$A$12)/260),$C76,$B76,RiskSlide!$H105)</f>
        <v>718.27022497624421</v>
      </c>
      <c r="CL76">
        <f>PnL((($D$7*(1+CL$2))+($D$5-$D$6)),$E76,(RiskSlide!$A$7),($G76+CL$3),((RiskSlide!$A$12)/260),$C76,$B76,RiskSlide!$H105)</f>
        <v>721.12155465828789</v>
      </c>
      <c r="CM76">
        <f>PnL((($D$7*(1+CM$2))+($D$5-$D$6)),$E76,(RiskSlide!$A$7),($G76+CM$3),((RiskSlide!$A$12)/260),$C76,$B76,RiskSlide!$H105)</f>
        <v>721.15166949040827</v>
      </c>
    </row>
    <row r="77" spans="1:91" x14ac:dyDescent="0.25">
      <c r="A77" t="s">
        <v>72</v>
      </c>
      <c r="B77">
        <v>10</v>
      </c>
      <c r="C77">
        <v>0</v>
      </c>
      <c r="E77">
        <v>1740</v>
      </c>
      <c r="F77">
        <v>3.5000000000000001E-3</v>
      </c>
      <c r="G77">
        <v>0.147757</v>
      </c>
      <c r="K77">
        <f>PnL((($D$7*(1+K$2))+($D$5-$D$6)),$E77,(RiskSlide!$A$7),($G77+K$3),((RiskSlide!$A$12)/260),$C77,$B77,RiskSlide!$H106)</f>
        <v>66724.681403340524</v>
      </c>
      <c r="L77">
        <f>PnL((($D$7*(1+L$2))+($D$5-$D$6)),$E77,(RiskSlide!$A$7),($G77+L$3),((RiskSlide!$A$12)/260),$C77,$B77,RiskSlide!$H106)</f>
        <v>64447.973022297614</v>
      </c>
      <c r="M77">
        <f>PnL((($D$7*(1+M$2))+($D$5-$D$6)),$E77,(RiskSlide!$A$7),($G77+M$3),((RiskSlide!$A$12)/260),$C77,$B77,RiskSlide!$H106)</f>
        <v>63285.732841826699</v>
      </c>
      <c r="N77">
        <f>PnL((($D$7*(1+N$2))+($D$5-$D$6)),$E77,(RiskSlide!$A$7),($G77+N$3),((RiskSlide!$A$12)/260),$C77,$B77,RiskSlide!$H106)</f>
        <v>63186.747884394375</v>
      </c>
      <c r="O77">
        <f>PnL((($D$7*(1+O$2))+($D$5-$D$6)),$E77,(RiskSlide!$A$7),($G77+O$3),((RiskSlide!$A$12)/260),$C77,$B77,RiskSlide!$H106)</f>
        <v>63098.091365262859</v>
      </c>
      <c r="P77">
        <f>PnL((($D$7*(1+P$2))+($D$5-$D$6)),$E77,(RiskSlide!$A$7),($G77+P$3),((RiskSlide!$A$12)/260),$C77,$B77,RiskSlide!$H106)</f>
        <v>63019.598670849919</v>
      </c>
      <c r="Q77">
        <f>PnL((($D$7*(1+Q$2))+($D$5-$D$6)),$E77,(RiskSlide!$A$7),($G77+Q$3),((RiskSlide!$A$12)/260),$C77,$B77,RiskSlide!$H106)</f>
        <v>62951.018657336193</v>
      </c>
      <c r="R77">
        <f>PnL((($D$7*(1+R$2))+($D$5-$D$6)),$E77,(RiskSlide!$A$7),($G77+R$3),((RiskSlide!$A$12)/260),$C77,$B77,RiskSlide!$H106)</f>
        <v>62696.275358612926</v>
      </c>
      <c r="S77">
        <f>PnL((($D$7*(1+S$2))+($D$5-$D$6)),$E77,(RiskSlide!$A$7),($G77+S$3),((RiskSlide!$A$12)/260),$C77,$B77,RiskSlide!$H106)</f>
        <v>62681.269959229045</v>
      </c>
      <c r="T77">
        <f>PnL((($D$7*(1+T$2))+($D$5-$D$6)),$E77,(RiskSlide!$A$7),($G77+T$3),((RiskSlide!$A$12)/260),$C77,$B77,RiskSlide!$H106)</f>
        <v>32757.302288355902</v>
      </c>
      <c r="U77">
        <f>PnL((($D$7*(1+U$2))+($D$5-$D$6)),$E77,(RiskSlide!$A$7),($G77+U$3),((RiskSlide!$A$12)/260),$C77,$B77,RiskSlide!$H106)</f>
        <v>28088.941968730353</v>
      </c>
      <c r="V77">
        <f>PnL((($D$7*(1+V$2))+($D$5-$D$6)),$E77,(RiskSlide!$A$7),($G77+V$3),((RiskSlide!$A$12)/260),$C77,$B77,RiskSlide!$H106)</f>
        <v>24571.086132389893</v>
      </c>
      <c r="W77">
        <f>PnL((($D$7*(1+W$2))+($D$5-$D$6)),$E77,(RiskSlide!$A$7),($G77+W$3),((RiskSlide!$A$12)/260),$C77,$B77,RiskSlide!$H106)</f>
        <v>24152.350164734857</v>
      </c>
      <c r="X77">
        <f>PnL((($D$7*(1+X$2))+($D$5-$D$6)),$E77,(RiskSlide!$A$7),($G77+X$3),((RiskSlide!$A$12)/260),$C77,$B77,RiskSlide!$H106)</f>
        <v>23739.638399043259</v>
      </c>
      <c r="Y77">
        <f>PnL((($D$7*(1+Y$2))+($D$5-$D$6)),$E77,(RiskSlide!$A$7),($G77+Y$3),((RiskSlide!$A$12)/260),$C77,$B77,RiskSlide!$H106)</f>
        <v>23333.48394111266</v>
      </c>
      <c r="Z77">
        <f>PnL((($D$7*(1+Z$2))+($D$5-$D$6)),$E77,(RiskSlide!$A$7),($G77+Z$3),((RiskSlide!$A$12)/260),$C77,$B77,RiskSlide!$H106)</f>
        <v>22934.479878962124</v>
      </c>
      <c r="AA77">
        <f>PnL((($D$7*(1+AA$2))+($D$5-$D$6)),$E77,(RiskSlide!$A$7),($G77+AA$3),((RiskSlide!$A$12)/260),$C77,$B77,RiskSlide!$H106)</f>
        <v>20097.748659081448</v>
      </c>
      <c r="AB77">
        <f>PnL((($D$7*(1+AB$2))+($D$5-$D$6)),$E77,(RiskSlide!$A$7),($G77+AB$3),((RiskSlide!$A$12)/260),$C77,$B77,RiskSlide!$H106)</f>
        <v>18209.019952171788</v>
      </c>
      <c r="AC77">
        <f>PnL((($D$7*(1+AC$2))+($D$5-$D$6)),$E77,(RiskSlide!$A$7),($G77+AC$3),((RiskSlide!$A$12)/260),$C77,$B77,RiskSlide!$H106)</f>
        <v>13595.514980408439</v>
      </c>
      <c r="AD77">
        <f>PnL((($D$7*(1+AD$2))+($D$5-$D$6)),$E77,(RiskSlide!$A$7),($G77+AD$3),((RiskSlide!$A$12)/260),$C77,$B77,RiskSlide!$H106)</f>
        <v>8364.2169832471609</v>
      </c>
      <c r="AE77">
        <f>PnL((($D$7*(1+AE$2))+($D$5-$D$6)),$E77,(RiskSlide!$A$7),($G77+AE$3),((RiskSlide!$A$12)/260),$C77,$B77,RiskSlide!$H106)</f>
        <v>4207.34395372375</v>
      </c>
      <c r="AF77">
        <f>PnL((($D$7*(1+AF$2))+($D$5-$D$6)),$E77,(RiskSlide!$A$7),($G77+AF$3),((RiskSlide!$A$12)/260),$C77,$B77,RiskSlide!$H106)</f>
        <v>3690.6168562131825</v>
      </c>
      <c r="AG77">
        <f>PnL((($D$7*(1+AG$2))+($D$5-$D$6)),$E77,(RiskSlide!$A$7),($G77+AG$3),((RiskSlide!$A$12)/260),$C77,$B77,RiskSlide!$H106)</f>
        <v>3174.7477912904856</v>
      </c>
      <c r="AH77">
        <f>PnL((($D$7*(1+AH$2))+($D$5-$D$6)),$E77,(RiskSlide!$A$7),($G77+AH$3),((RiskSlide!$A$12)/260),$C77,$B77,RiskSlide!$H106)</f>
        <v>2659.8265073080825</v>
      </c>
      <c r="AI77">
        <f>PnL((($D$7*(1+AI$2))+($D$5-$D$6)),$E77,(RiskSlide!$A$7),($G77+AI$3),((RiskSlide!$A$12)/260),$C77,$B77,RiskSlide!$H106)</f>
        <v>2145.9554177105247</v>
      </c>
      <c r="AJ77">
        <f>PnL((($D$7*(1+AJ$2))+($D$5-$D$6)),$E77,(RiskSlide!$A$7),($G77+AJ$3),((RiskSlide!$A$12)/260),$C77,$B77,RiskSlide!$H106)</f>
        <v>-1908.2883682262377</v>
      </c>
      <c r="AK77">
        <f>PnL((($D$7*(1+AK$2))+($D$5-$D$6)),$E77,(RiskSlide!$A$7),($G77+AK$3),((RiskSlide!$A$12)/260),$C77,$B77,RiskSlide!$H106)</f>
        <v>-6576.239357331332</v>
      </c>
      <c r="AL77">
        <f>PnL((($D$7*(1+AL$2))+($D$5-$D$6)),$E77,(RiskSlide!$A$7),($G77+AL$3),((RiskSlide!$A$12)/260),$C77,$B77,RiskSlide!$H106)</f>
        <v>11740.051111949128</v>
      </c>
      <c r="AM77">
        <f>PnL((($D$7*(1+AM$2))+($D$5-$D$6)),$E77,(RiskSlide!$A$7),($G77+AM$3),((RiskSlide!$A$12)/260),$C77,$B77,RiskSlide!$H106)</f>
        <v>6571.354021339971</v>
      </c>
      <c r="AN77">
        <f>PnL((($D$7*(1+AN$2))+($D$5-$D$6)),$E77,(RiskSlide!$A$7),($G77+AN$3),((RiskSlide!$A$12)/260),$C77,$B77,RiskSlide!$H106)</f>
        <v>2498.1961479579695</v>
      </c>
      <c r="AO77">
        <f>PnL((($D$7*(1+AO$2))+($D$5-$D$6)),$E77,(RiskSlide!$A$7),($G77+AO$3),((RiskSlide!$A$12)/260),$C77,$B77,RiskSlide!$H106)</f>
        <v>1995.2829518480826</v>
      </c>
      <c r="AP77">
        <f>PnL((($D$7*(1+AP$2))+($D$5-$D$6)),$E77,(RiskSlide!$A$7),($G77+AP$3),((RiskSlide!$A$12)/260),$C77,$B77,RiskSlide!$H106)</f>
        <v>1494.2104716647577</v>
      </c>
      <c r="AQ77">
        <f>PnL((($D$7*(1+AQ$2))+($D$5-$D$6)),$E77,(RiskSlide!$A$7),($G77+AQ$3),((RiskSlide!$A$12)/260),$C77,$B77,RiskSlide!$H106)</f>
        <v>995.1654863033923</v>
      </c>
      <c r="AR77">
        <f>PnL((($D$7*(1+AR$2))+($D$5-$D$6)),$E77,(RiskSlide!$A$7),($G77+AR$3),((RiskSlide!$A$12)/260),$C77,$B77,RiskSlide!$H106)</f>
        <v>498.36037078699746</v>
      </c>
      <c r="AS77">
        <f>PnL((($D$7*(1+AS$2))+($D$5-$D$6)),$E77,(RiskSlide!$A$7),($G77+AS$3),((RiskSlide!$A$12)/260),$C77,$B77,RiskSlide!$H106)</f>
        <v>-3356.8506492022152</v>
      </c>
      <c r="AT77">
        <f>PnL((($D$7*(1+AT$2))+($D$5-$D$6)),$E77,(RiskSlide!$A$7),($G77+AT$3),((RiskSlide!$A$12)/260),$C77,$B77,RiskSlide!$H106)</f>
        <v>-7394.7021012062496</v>
      </c>
      <c r="AU77">
        <f>PnL((($D$7*(1+AU$2))+($D$5-$D$6)),$E77,(RiskSlide!$A$7),($G77+AU$3),((RiskSlide!$A$12)/260),$C77,$B77,RiskSlide!$H106)</f>
        <v>10000.103519318089</v>
      </c>
      <c r="AV77">
        <f>PnL((($D$7*(1+AV$2))+($D$5-$D$6)),$E77,(RiskSlide!$A$7),($G77+AV$3),((RiskSlide!$A$12)/260),$C77,$B77,RiskSlide!$H106)</f>
        <v>4921.4743014597389</v>
      </c>
      <c r="AW77">
        <f>PnL((($D$7*(1+AW$2))+($D$5-$D$6)),$E77,(RiskSlide!$A$7),($G77+AW$3),((RiskSlide!$A$12)/260),$C77,$B77,RiskSlide!$H106)</f>
        <v>964.86630539919815</v>
      </c>
      <c r="AX77">
        <f>PnL((($D$7*(1+AX$2))+($D$5-$D$6)),$E77,(RiskSlide!$A$7),($G77+AX$3),((RiskSlide!$A$12)/260),$C77,$B77,RiskSlide!$H106)</f>
        <v>480.88134216777689</v>
      </c>
      <c r="AY77">
        <f>PnL((($D$7*(1+AY$2))+($D$5-$D$6)),$E77,(RiskSlide!$A$7),($G77+AY$3),((RiskSlide!$A$12)/260),$C77,$B77,RiskSlide!$H106)</f>
        <v>0</v>
      </c>
      <c r="AZ77">
        <f>PnL((($D$7*(1+AZ$2))+($D$5-$D$6)),$E77,(RiskSlide!$A$7),($G77+AZ$3),((RiskSlide!$A$12)/260),$C77,$B77,RiskSlide!$H106)</f>
        <v>-477.47362208338018</v>
      </c>
      <c r="BA77">
        <f>PnL((($D$7*(1+BA$2))+($D$5-$D$6)),$E77,(RiskSlide!$A$7),($G77+BA$3),((RiskSlide!$A$12)/260),$C77,$B77,RiskSlide!$H106)</f>
        <v>-951.19557562708223</v>
      </c>
      <c r="BB77">
        <f>PnL((($D$7*(1+BB$2))+($D$5-$D$6)),$E77,(RiskSlide!$A$7),($G77+BB$3),((RiskSlide!$A$12)/260),$C77,$B77,RiskSlide!$H106)</f>
        <v>-4544.8609817426022</v>
      </c>
      <c r="BC77">
        <f>PnL((($D$7*(1+BC$2))+($D$5-$D$6)),$E77,(RiskSlide!$A$7),($G77+BC$3),((RiskSlide!$A$12)/260),$C77,$B77,RiskSlide!$H106)</f>
        <v>-7867.6945548432686</v>
      </c>
      <c r="BD77">
        <f>PnL((($D$7*(1+BD$2))+($D$5-$D$6)),$E77,(RiskSlide!$A$7),($G77+BD$3),((RiskSlide!$A$12)/260),$C77,$B77,RiskSlide!$H106)</f>
        <v>8372.9811340401739</v>
      </c>
      <c r="BE77">
        <f>PnL((($D$7*(1+BE$2))+($D$5-$D$6)),$E77,(RiskSlide!$A$7),($G77+BE$3),((RiskSlide!$A$12)/260),$C77,$B77,RiskSlide!$H106)</f>
        <v>3409.9793115194643</v>
      </c>
      <c r="BF77">
        <f>PnL((($D$7*(1+BF$2))+($D$5-$D$6)),$E77,(RiskSlide!$A$7),($G77+BF$3),((RiskSlide!$A$12)/260),$C77,$B77,RiskSlide!$H106)</f>
        <v>-400.72309214872348</v>
      </c>
      <c r="BG77">
        <f>PnL((($D$7*(1+BG$2))+($D$5-$D$6)),$E77,(RiskSlide!$A$7),($G77+BG$3),((RiskSlide!$A$12)/260),$C77,$B77,RiskSlide!$H106)</f>
        <v>-861.35249829948179</v>
      </c>
      <c r="BH77">
        <f>PnL((($D$7*(1+BH$2))+($D$5-$D$6)),$E77,(RiskSlide!$A$7),($G77+BH$3),((RiskSlide!$A$12)/260),$C77,$B77,RiskSlide!$H106)</f>
        <v>-1317.4214969781985</v>
      </c>
      <c r="BI77">
        <f>PnL((($D$7*(1+BI$2))+($D$5-$D$6)),$E77,(RiskSlide!$A$7),($G77+BI$3),((RiskSlide!$A$12)/260),$C77,$B77,RiskSlide!$H106)</f>
        <v>-1768.5023685611441</v>
      </c>
      <c r="BJ77">
        <f>PnL((($D$7*(1+BJ$2))+($D$5-$D$6)),$E77,(RiskSlide!$A$7),($G77+BJ$3),((RiskSlide!$A$12)/260),$C77,$B77,RiskSlide!$H106)</f>
        <v>-2214.1147247038475</v>
      </c>
      <c r="BK77">
        <f>PnL((($D$7*(1+BK$2))+($D$5-$D$6)),$E77,(RiskSlide!$A$7),($G77+BK$3),((RiskSlide!$A$12)/260),$C77,$B77,RiskSlide!$H106)</f>
        <v>-5499.4786893561241</v>
      </c>
      <c r="BL77">
        <f>PnL((($D$7*(1+BL$2))+($D$5-$D$6)),$E77,(RiskSlide!$A$7),($G77+BL$3),((RiskSlide!$A$12)/260),$C77,$B77,RiskSlide!$H106)</f>
        <v>-8116.145221825931</v>
      </c>
      <c r="BM77">
        <f>PnL((($D$7*(1+BM$2))+($D$5-$D$6)),$E77,(RiskSlide!$A$7),($G77+BM$3),((RiskSlide!$A$12)/260),$C77,$B77,RiskSlide!$H106)</f>
        <v>6855.5815115519745</v>
      </c>
      <c r="BN77">
        <f>PnL((($D$7*(1+BN$2))+($D$5-$D$6)),$E77,(RiskSlide!$A$7),($G77+BN$3),((RiskSlide!$A$12)/260),$C77,$B77,RiskSlide!$H106)</f>
        <v>2031.5126529905569</v>
      </c>
      <c r="BO77">
        <f>PnL((($D$7*(1+BO$2))+($D$5-$D$6)),$E77,(RiskSlide!$A$7),($G77+BO$3),((RiskSlide!$A$12)/260),$C77,$B77,RiskSlide!$H106)</f>
        <v>-1607.9782658993622</v>
      </c>
      <c r="BP77">
        <f>PnL((($D$7*(1+BP$2))+($D$5-$D$6)),$E77,(RiskSlide!$A$7),($G77+BP$3),((RiskSlide!$A$12)/260),$C77,$B77,RiskSlide!$H106)</f>
        <v>-2041.6139536446281</v>
      </c>
      <c r="BQ77">
        <f>PnL((($D$7*(1+BQ$2))+($D$5-$D$6)),$E77,(RiskSlide!$A$7),($G77+BQ$3),((RiskSlide!$A$12)/260),$C77,$B77,RiskSlide!$H106)</f>
        <v>-2469.133512760749</v>
      </c>
      <c r="BR77">
        <f>PnL((($D$7*(1+BR$2))+($D$5-$D$6)),$E77,(RiskSlide!$A$7),($G77+BR$3),((RiskSlide!$A$12)/260),$C77,$B77,RiskSlide!$H106)</f>
        <v>-2889.9936731945104</v>
      </c>
      <c r="BS77">
        <f>PnL((($D$7*(1+BS$2))+($D$5-$D$6)),$E77,(RiskSlide!$A$7),($G77+BS$3),((RiskSlide!$A$12)/260),$C77,$B77,RiskSlide!$H106)</f>
        <v>-3303.589667072913</v>
      </c>
      <c r="BT77">
        <f>PnL((($D$7*(1+BT$2))+($D$5-$D$6)),$E77,(RiskSlide!$A$7),($G77+BT$3),((RiskSlide!$A$12)/260),$C77,$B77,RiskSlide!$H106)</f>
        <v>-6250.762958168707</v>
      </c>
      <c r="BU77">
        <f>PnL((($D$7*(1+BU$2))+($D$5-$D$6)),$E77,(RiskSlide!$A$7),($G77+BU$3),((RiskSlide!$A$12)/260),$C77,$B77,RiskSlide!$H106)</f>
        <v>-8234.5073756456277</v>
      </c>
      <c r="BV77">
        <f>PnL((($D$7*(1+BV$2))+($D$5-$D$6)),$E77,(RiskSlide!$A$7),($G77+BV$3),((RiskSlide!$A$12)/260),$C77,$B77,RiskSlide!$H106)</f>
        <v>-1804.7834143973773</v>
      </c>
      <c r="BW77">
        <f>PnL((($D$7*(1+BW$2))+($D$5-$D$6)),$E77,(RiskSlide!$A$7),($G77+BW$3),((RiskSlide!$A$12)/260),$C77,$B77,RiskSlide!$H106)</f>
        <v>-5007.5629541366879</v>
      </c>
      <c r="BX77">
        <f>PnL((($D$7*(1+BX$2))+($D$5-$D$6)),$E77,(RiskSlide!$A$7),($G77+BX$3),((RiskSlide!$A$12)/260),$C77,$B77,RiskSlide!$H106)</f>
        <v>-6903.1849178534794</v>
      </c>
      <c r="BY77">
        <f>PnL((($D$7*(1+BY$2))+($D$5-$D$6)),$E77,(RiskSlide!$A$7),($G77+BY$3),((RiskSlide!$A$12)/260),$C77,$B77,RiskSlide!$H106)</f>
        <v>-7087.1551366796193</v>
      </c>
      <c r="BZ77">
        <f>PnL((($D$7*(1+BZ$2))+($D$5-$D$6)),$E77,(RiskSlide!$A$7),($G77+BZ$3),((RiskSlide!$A$12)/260),$C77,$B77,RiskSlide!$H106)</f>
        <v>-7258.0844278553868</v>
      </c>
      <c r="CA77">
        <f>PnL((($D$7*(1+CA$2))+($D$5-$D$6)),$E77,(RiskSlide!$A$7),($G77+CA$3),((RiskSlide!$A$12)/260),$C77,$B77,RiskSlide!$H106)</f>
        <v>-7415.6757597796532</v>
      </c>
      <c r="CB77">
        <f>PnL((($D$7*(1+CB$2))+($D$5-$D$6)),$E77,(RiskSlide!$A$7),($G77+CB$3),((RiskSlide!$A$12)/260),$C77,$B77,RiskSlide!$H106)</f>
        <v>-7559.6912102445376</v>
      </c>
      <c r="CC77">
        <f>PnL((($D$7*(1+CC$2))+($D$5-$D$6)),$E77,(RiskSlide!$A$7),($G77+CC$3),((RiskSlide!$A$12)/260),$C77,$B77,RiskSlide!$H106)</f>
        <v>-8229.1011498374955</v>
      </c>
      <c r="CD77">
        <f>PnL((($D$7*(1+CD$2))+($D$5-$D$6)),$E77,(RiskSlide!$A$7),($G77+CD$3),((RiskSlide!$A$12)/260),$C77,$B77,RiskSlide!$H106)</f>
        <v>-8315.6964490721311</v>
      </c>
      <c r="CE77">
        <f>PnL((($D$7*(1+CE$2))+($D$5-$D$6)),$E77,(RiskSlide!$A$7),($G77+CE$3),((RiskSlide!$A$12)/260),$C77,$B77,RiskSlide!$H106)</f>
        <v>-6478.6254344293757</v>
      </c>
      <c r="CF77">
        <f>PnL((($D$7*(1+CF$2))+($D$5-$D$6)),$E77,(RiskSlide!$A$7),($G77+CF$3),((RiskSlide!$A$12)/260),$C77,$B77,RiskSlide!$H106)</f>
        <v>-7756.2415979082216</v>
      </c>
      <c r="CG77">
        <f>PnL((($D$7*(1+CG$2))+($D$5-$D$6)),$E77,(RiskSlide!$A$7),($G77+CG$3),((RiskSlide!$A$12)/260),$C77,$B77,RiskSlide!$H106)</f>
        <v>-8204.2312483940095</v>
      </c>
      <c r="CH77">
        <f>PnL((($D$7*(1+CH$2))+($D$5-$D$6)),$E77,(RiskSlide!$A$7),($G77+CH$3),((RiskSlide!$A$12)/260),$C77,$B77,RiskSlide!$H106)</f>
        <v>-8231.0913446255036</v>
      </c>
      <c r="CI77">
        <f>PnL((($D$7*(1+CI$2))+($D$5-$D$6)),$E77,(RiskSlide!$A$7),($G77+CI$3),((RiskSlide!$A$12)/260),$C77,$B77,RiskSlide!$H106)</f>
        <v>-8252.9702478539584</v>
      </c>
      <c r="CJ77">
        <f>PnL((($D$7*(1+CJ$2))+($D$5-$D$6)),$E77,(RiskSlide!$A$7),($G77+CJ$3),((RiskSlide!$A$12)/260),$C77,$B77,RiskSlide!$H106)</f>
        <v>-8270.4126331437947</v>
      </c>
      <c r="CK77">
        <f>PnL((($D$7*(1+CK$2))+($D$5-$D$6)),$E77,(RiskSlide!$A$7),($G77+CK$3),((RiskSlide!$A$12)/260),$C77,$B77,RiskSlide!$H106)</f>
        <v>-8283.9801207080382</v>
      </c>
      <c r="CL77">
        <f>PnL((($D$7*(1+CL$2))+($D$5-$D$6)),$E77,(RiskSlide!$A$7),($G77+CL$3),((RiskSlide!$A$12)/260),$C77,$B77,RiskSlide!$H106)</f>
        <v>-8315.4120340896898</v>
      </c>
      <c r="CM77">
        <f>PnL((($D$7*(1+CM$2))+($D$5-$D$6)),$E77,(RiskSlide!$A$7),($G77+CM$3),((RiskSlide!$A$12)/260),$C77,$B77,RiskSlide!$H106)</f>
        <v>-8315.6985218241152</v>
      </c>
    </row>
    <row r="78" spans="1:91" x14ac:dyDescent="0.25">
      <c r="A78" t="s">
        <v>73</v>
      </c>
      <c r="B78">
        <v>-4</v>
      </c>
      <c r="C78">
        <v>0</v>
      </c>
      <c r="E78">
        <v>1745</v>
      </c>
      <c r="F78">
        <v>3.5000000000000001E-3</v>
      </c>
      <c r="G78">
        <v>0.14533599999999999</v>
      </c>
      <c r="K78">
        <f>PnL((($D$7*(1+K$2))+($D$5-$D$6)),$E78,(RiskSlide!$A$7),($G78+K$3),((RiskSlide!$A$12)/260),$C78,$B78,RiskSlide!$H107)</f>
        <v>-27275.567830846237</v>
      </c>
      <c r="L78">
        <f>PnL((($D$7*(1+L$2))+($D$5-$D$6)),$E78,(RiskSlide!$A$7),($G78+L$3),((RiskSlide!$A$12)/260),$C78,$B78,RiskSlide!$H107)</f>
        <v>-26427.711040414761</v>
      </c>
      <c r="M78">
        <f>PnL((($D$7*(1+M$2))+($D$5-$D$6)),$E78,(RiskSlide!$A$7),($G78+M$3),((RiskSlide!$A$12)/260),$C78,$B78,RiskSlide!$H107)</f>
        <v>-26015.204690142811</v>
      </c>
      <c r="N78">
        <f>PnL((($D$7*(1+N$2))+($D$5-$D$6)),$E78,(RiskSlide!$A$7),($G78+N$3),((RiskSlide!$A$12)/260),$C78,$B78,RiskSlide!$H107)</f>
        <v>-25981.658994731471</v>
      </c>
      <c r="O78">
        <f>PnL((($D$7*(1+O$2))+($D$5-$D$6)),$E78,(RiskSlide!$A$7),($G78+O$3),((RiskSlide!$A$12)/260),$C78,$B78,RiskSlide!$H107)</f>
        <v>-25952.011232295899</v>
      </c>
      <c r="P78">
        <f>PnL((($D$7*(1+P$2))+($D$5-$D$6)),$E78,(RiskSlide!$A$7),($G78+P$3),((RiskSlide!$A$12)/260),$C78,$B78,RiskSlide!$H107)</f>
        <v>-25926.151683240598</v>
      </c>
      <c r="Q78">
        <f>PnL((($D$7*(1+Q$2))+($D$5-$D$6)),$E78,(RiskSlide!$A$7),($G78+Q$3),((RiskSlide!$A$12)/260),$C78,$B78,RiskSlide!$H107)</f>
        <v>-25903.934949488073</v>
      </c>
      <c r="R78">
        <f>PnL((($D$7*(1+R$2))+($D$5-$D$6)),$E78,(RiskSlide!$A$7),($G78+R$3),((RiskSlide!$A$12)/260),$C78,$B78,RiskSlide!$H107)</f>
        <v>-25827.892824137689</v>
      </c>
      <c r="S78">
        <f>PnL((($D$7*(1+S$2))+($D$5-$D$6)),$E78,(RiskSlide!$A$7),($G78+S$3),((RiskSlide!$A$12)/260),$C78,$B78,RiskSlide!$H107)</f>
        <v>-25824.675873164277</v>
      </c>
      <c r="T78">
        <f>PnL((($D$7*(1+T$2))+($D$5-$D$6)),$E78,(RiskSlide!$A$7),($G78+T$3),((RiskSlide!$A$12)/260),$C78,$B78,RiskSlide!$H107)</f>
        <v>-13444.050962157735</v>
      </c>
      <c r="U78">
        <f>PnL((($D$7*(1+U$2))+($D$5-$D$6)),$E78,(RiskSlide!$A$7),($G78+U$3),((RiskSlide!$A$12)/260),$C78,$B78,RiskSlide!$H107)</f>
        <v>-11617.026312813141</v>
      </c>
      <c r="V78">
        <f>PnL((($D$7*(1+V$2))+($D$5-$D$6)),$E78,(RiskSlide!$A$7),($G78+V$3),((RiskSlide!$A$12)/260),$C78,$B78,RiskSlide!$H107)</f>
        <v>-10259.916330189208</v>
      </c>
      <c r="W78">
        <f>PnL((($D$7*(1+W$2))+($D$5-$D$6)),$E78,(RiskSlide!$A$7),($G78+W$3),((RiskSlide!$A$12)/260),$C78,$B78,RiskSlide!$H107)</f>
        <v>-10100.339136698312</v>
      </c>
      <c r="X78">
        <f>PnL((($D$7*(1+X$2))+($D$5-$D$6)),$E78,(RiskSlide!$A$7),($G78+X$3),((RiskSlide!$A$12)/260),$C78,$B78,RiskSlide!$H107)</f>
        <v>-9943.6342504859567</v>
      </c>
      <c r="Y78">
        <f>PnL((($D$7*(1+Y$2))+($D$5-$D$6)),$E78,(RiskSlide!$A$7),($G78+Y$3),((RiskSlide!$A$12)/260),$C78,$B78,RiskSlide!$H107)</f>
        <v>-9790.048741807459</v>
      </c>
      <c r="Z78">
        <f>PnL((($D$7*(1+Z$2))+($D$5-$D$6)),$E78,(RiskSlide!$A$7),($G78+Z$3),((RiskSlide!$A$12)/260),$C78,$B78,RiskSlide!$H107)</f>
        <v>-9639.8558803010474</v>
      </c>
      <c r="AA78">
        <f>PnL((($D$7*(1+AA$2))+($D$5-$D$6)),$E78,(RiskSlide!$A$7),($G78+AA$3),((RiskSlide!$A$12)/260),$C78,$B78,RiskSlide!$H107)</f>
        <v>-8604.3019300859214</v>
      </c>
      <c r="AB78">
        <f>PnL((($D$7*(1+AB$2))+($D$5-$D$6)),$E78,(RiskSlide!$A$7),($G78+AB$3),((RiskSlide!$A$12)/260),$C78,$B78,RiskSlide!$H107)</f>
        <v>-8017.1017334718726</v>
      </c>
      <c r="AC78">
        <f>PnL((($D$7*(1+AC$2))+($D$5-$D$6)),$E78,(RiskSlide!$A$7),($G78+AC$3),((RiskSlide!$A$12)/260),$C78,$B78,RiskSlide!$H107)</f>
        <v>-5555.3543966798088</v>
      </c>
      <c r="AD78">
        <f>PnL((($D$7*(1+AD$2))+($D$5-$D$6)),$E78,(RiskSlide!$A$7),($G78+AD$3),((RiskSlide!$A$12)/260),$C78,$B78,RiskSlide!$H107)</f>
        <v>-3448.0136180519139</v>
      </c>
      <c r="AE78">
        <f>PnL((($D$7*(1+AE$2))+($D$5-$D$6)),$E78,(RiskSlide!$A$7),($G78+AE$3),((RiskSlide!$A$12)/260),$C78,$B78,RiskSlide!$H107)</f>
        <v>-1768.2221263896508</v>
      </c>
      <c r="AF78">
        <f>PnL((($D$7*(1+AF$2))+($D$5-$D$6)),$E78,(RiskSlide!$A$7),($G78+AF$3),((RiskSlide!$A$12)/260),$C78,$B78,RiskSlide!$H107)</f>
        <v>-1558.8837684175815</v>
      </c>
      <c r="AG78">
        <f>PnL((($D$7*(1+AG$2))+($D$5-$D$6)),$E78,(RiskSlide!$A$7),($G78+AG$3),((RiskSlide!$A$12)/260),$C78,$B78,RiskSlide!$H107)</f>
        <v>-1349.7366010481755</v>
      </c>
      <c r="AH78">
        <f>PnL((($D$7*(1+AH$2))+($D$5-$D$6)),$E78,(RiskSlide!$A$7),($G78+AH$3),((RiskSlide!$A$12)/260),$C78,$B78,RiskSlide!$H107)</f>
        <v>-1140.8013640249692</v>
      </c>
      <c r="AI78">
        <f>PnL((($D$7*(1+AI$2))+($D$5-$D$6)),$E78,(RiskSlide!$A$7),($G78+AI$3),((RiskSlide!$A$12)/260),$C78,$B78,RiskSlide!$H107)</f>
        <v>-932.1018029242623</v>
      </c>
      <c r="AJ78">
        <f>PnL((($D$7*(1+AJ$2))+($D$5-$D$6)),$E78,(RiskSlide!$A$7),($G78+AJ$3),((RiskSlide!$A$12)/260),$C78,$B78,RiskSlide!$H107)</f>
        <v>724.56026287059103</v>
      </c>
      <c r="AK78">
        <f>PnL((($D$7*(1+AK$2))+($D$5-$D$6)),$E78,(RiskSlide!$A$7),($G78+AK$3),((RiskSlide!$A$12)/260),$C78,$B78,RiskSlide!$H107)</f>
        <v>2698.2817224249061</v>
      </c>
      <c r="AL78">
        <f>PnL((($D$7*(1+AL$2))+($D$5-$D$6)),$E78,(RiskSlide!$A$7),($G78+AL$3),((RiskSlide!$A$12)/260),$C78,$B78,RiskSlide!$H107)</f>
        <v>-4787.2463594870851</v>
      </c>
      <c r="AM78">
        <f>PnL((($D$7*(1+AM$2))+($D$5-$D$6)),$E78,(RiskSlide!$A$7),($G78+AM$3),((RiskSlide!$A$12)/260),$C78,$B78,RiskSlide!$H107)</f>
        <v>-2698.9701076349775</v>
      </c>
      <c r="AN78">
        <f>PnL((($D$7*(1+AN$2))+($D$5-$D$6)),$E78,(RiskSlide!$A$7),($G78+AN$3),((RiskSlide!$A$12)/260),$C78,$B78,RiskSlide!$H107)</f>
        <v>-1045.5363408575522</v>
      </c>
      <c r="AO78">
        <f>PnL((($D$7*(1+AO$2))+($D$5-$D$6)),$E78,(RiskSlide!$A$7),($G78+AO$3),((RiskSlide!$A$12)/260),$C78,$B78,RiskSlide!$H107)</f>
        <v>-840.61260843798209</v>
      </c>
      <c r="AP78">
        <f>PnL((($D$7*(1+AP$2))+($D$5-$D$6)),$E78,(RiskSlide!$A$7),($G78+AP$3),((RiskSlide!$A$12)/260),$C78,$B78,RiskSlide!$H107)</f>
        <v>-636.211615078264</v>
      </c>
      <c r="AQ78">
        <f>PnL((($D$7*(1+AQ$2))+($D$5-$D$6)),$E78,(RiskSlide!$A$7),($G78+AQ$3),((RiskSlide!$A$12)/260),$C78,$B78,RiskSlide!$H107)</f>
        <v>-432.38817341532467</v>
      </c>
      <c r="AR78">
        <f>PnL((($D$7*(1+AR$2))+($D$5-$D$6)),$E78,(RiskSlide!$A$7),($G78+AR$3),((RiskSlide!$A$12)/260),$C78,$B78,RiskSlide!$H107)</f>
        <v>-229.2048759819636</v>
      </c>
      <c r="AS78">
        <f>PnL((($D$7*(1+AS$2))+($D$5-$D$6)),$E78,(RiskSlide!$A$7),($G78+AS$3),((RiskSlide!$A$12)/260),$C78,$B78,RiskSlide!$H107)</f>
        <v>1361.634258492586</v>
      </c>
      <c r="AT78">
        <f>PnL((($D$7*(1+AT$2))+($D$5-$D$6)),$E78,(RiskSlide!$A$7),($G78+AT$3),((RiskSlide!$A$12)/260),$C78,$B78,RiskSlide!$H107)</f>
        <v>3106.9860445619383</v>
      </c>
      <c r="AU78">
        <f>PnL((($D$7*(1+AU$2))+($D$5-$D$6)),$E78,(RiskSlide!$A$7),($G78+AU$3),((RiskSlide!$A$12)/260),$C78,$B78,RiskSlide!$H107)</f>
        <v>-4066.1899521647683</v>
      </c>
      <c r="AV78">
        <f>PnL((($D$7*(1+AV$2))+($D$5-$D$6)),$E78,(RiskSlide!$A$7),($G78+AV$3),((RiskSlide!$A$12)/260),$C78,$B78,RiskSlide!$H107)</f>
        <v>-2008.5328480648741</v>
      </c>
      <c r="AW78">
        <f>PnL((($D$7*(1+AW$2))+($D$5-$D$6)),$E78,(RiskSlide!$A$7),($G78+AW$3),((RiskSlide!$A$12)/260),$C78,$B78,RiskSlide!$H107)</f>
        <v>-395.5654528590685</v>
      </c>
      <c r="AX78">
        <f>PnL((($D$7*(1+AX$2))+($D$5-$D$6)),$E78,(RiskSlide!$A$7),($G78+AX$3),((RiskSlide!$A$12)/260),$C78,$B78,RiskSlide!$H107)</f>
        <v>-197.28867510791588</v>
      </c>
      <c r="AY78">
        <f>PnL((($D$7*(1+AY$2))+($D$5-$D$6)),$E78,(RiskSlide!$A$7),($G78+AY$3),((RiskSlide!$A$12)/260),$C78,$B78,RiskSlide!$H107)</f>
        <v>0</v>
      </c>
      <c r="AZ78">
        <f>PnL((($D$7*(1+AZ$2))+($D$5-$D$6)),$E78,(RiskSlide!$A$7),($G78+AZ$3),((RiskSlide!$A$12)/260),$C78,$B78,RiskSlide!$H107)</f>
        <v>196.20022818344296</v>
      </c>
      <c r="BA78">
        <f>PnL((($D$7*(1+BA$2))+($D$5-$D$6)),$E78,(RiskSlide!$A$7),($G78+BA$3),((RiskSlide!$A$12)/260),$C78,$B78,RiskSlide!$H107)</f>
        <v>391.19794365294638</v>
      </c>
      <c r="BB78">
        <f>PnL((($D$7*(1+BB$2))+($D$5-$D$6)),$E78,(RiskSlide!$A$7),($G78+BB$3),((RiskSlide!$A$12)/260),$C78,$B78,RiskSlide!$H107)</f>
        <v>1887.2142695088201</v>
      </c>
      <c r="BC78">
        <f>PnL((($D$7*(1+BC$2))+($D$5-$D$6)),$E78,(RiskSlide!$A$7),($G78+BC$3),((RiskSlide!$A$12)/260),$C78,$B78,RiskSlide!$H107)</f>
        <v>3346.7649103075132</v>
      </c>
      <c r="BD78">
        <f>PnL((($D$7*(1+BD$2))+($D$5-$D$6)),$E78,(RiskSlide!$A$7),($G78+BD$3),((RiskSlide!$A$12)/260),$C78,$B78,RiskSlide!$H107)</f>
        <v>-3391.1938838927426</v>
      </c>
      <c r="BE78">
        <f>PnL((($D$7*(1+BE$2))+($D$5-$D$6)),$E78,(RiskSlide!$A$7),($G78+BE$3),((RiskSlide!$A$12)/260),$C78,$B78,RiskSlide!$H107)</f>
        <v>-1375.0139854586223</v>
      </c>
      <c r="BF78">
        <f>PnL((($D$7*(1+BF$2))+($D$5-$D$6)),$E78,(RiskSlide!$A$7),($G78+BF$3),((RiskSlide!$A$12)/260),$C78,$B78,RiskSlide!$H107)</f>
        <v>184.6674301126086</v>
      </c>
      <c r="BG78">
        <f>PnL((($D$7*(1+BG$2))+($D$5-$D$6)),$E78,(RiskSlide!$A$7),($G78+BG$3),((RiskSlide!$A$12)/260),$C78,$B78,RiskSlide!$H107)</f>
        <v>374.32229769531205</v>
      </c>
      <c r="BH78">
        <f>PnL((($D$7*(1+BH$2))+($D$5-$D$6)),$E78,(RiskSlide!$A$7),($G78+BH$3),((RiskSlide!$A$12)/260),$C78,$B78,RiskSlide!$H107)</f>
        <v>562.42330712057083</v>
      </c>
      <c r="BI78">
        <f>PnL((($D$7*(1+BI$2))+($D$5-$D$6)),$E78,(RiskSlide!$A$7),($G78+BI$3),((RiskSlide!$A$12)/260),$C78,$B78,RiskSlide!$H107)</f>
        <v>748.81877641091705</v>
      </c>
      <c r="BJ78">
        <f>PnL((($D$7*(1+BJ$2))+($D$5-$D$6)),$E78,(RiskSlide!$A$7),($G78+BJ$3),((RiskSlide!$A$12)/260),$C78,$B78,RiskSlide!$H107)</f>
        <v>933.33736860495264</v>
      </c>
      <c r="BK78">
        <f>PnL((($D$7*(1+BK$2))+($D$5-$D$6)),$E78,(RiskSlide!$A$7),($G78+BK$3),((RiskSlide!$A$12)/260),$C78,$B78,RiskSlide!$H107)</f>
        <v>2311.7292991500335</v>
      </c>
      <c r="BL78">
        <f>PnL((($D$7*(1+BL$2))+($D$5-$D$6)),$E78,(RiskSlide!$A$7),($G78+BL$3),((RiskSlide!$A$12)/260),$C78,$B78,RiskSlide!$H107)</f>
        <v>3473.5116180343653</v>
      </c>
      <c r="BM78">
        <f>PnL((($D$7*(1+BM$2))+($D$5-$D$6)),$E78,(RiskSlide!$A$7),($G78+BM$3),((RiskSlide!$A$12)/260),$C78,$B78,RiskSlide!$H107)</f>
        <v>-2761.0893200929695</v>
      </c>
      <c r="BN78">
        <f>PnL((($D$7*(1+BN$2))+($D$5-$D$6)),$E78,(RiskSlide!$A$7),($G78+BN$3),((RiskSlide!$A$12)/260),$C78,$B78,RiskSlide!$H107)</f>
        <v>-796.38997684373862</v>
      </c>
      <c r="BO78">
        <f>PnL((($D$7*(1+BO$2))+($D$5-$D$6)),$E78,(RiskSlide!$A$7),($G78+BO$3),((RiskSlide!$A$12)/260),$C78,$B78,RiskSlide!$H107)</f>
        <v>698.75208748555906</v>
      </c>
      <c r="BP78">
        <f>PnL((($D$7*(1+BP$2))+($D$5-$D$6)),$E78,(RiskSlide!$A$7),($G78+BP$3),((RiskSlide!$A$12)/260),$C78,$B78,RiskSlide!$H107)</f>
        <v>878.11958148006397</v>
      </c>
      <c r="BQ78">
        <f>PnL((($D$7*(1+BQ$2))+($D$5-$D$6)),$E78,(RiskSlide!$A$7),($G78+BQ$3),((RiskSlide!$A$12)/260),$C78,$B78,RiskSlide!$H107)</f>
        <v>1055.3058938416598</v>
      </c>
      <c r="BR78">
        <f>PnL((($D$7*(1+BR$2))+($D$5-$D$6)),$E78,(RiskSlide!$A$7),($G78+BR$3),((RiskSlide!$A$12)/260),$C78,$B78,RiskSlide!$H107)</f>
        <v>1230.1084109357248</v>
      </c>
      <c r="BS78">
        <f>PnL((($D$7*(1+BS$2))+($D$5-$D$6)),$E78,(RiskSlide!$A$7),($G78+BS$3),((RiskSlide!$A$12)/260),$C78,$B78,RiskSlide!$H107)</f>
        <v>1402.3001311713983</v>
      </c>
      <c r="BT78">
        <f>PnL((($D$7*(1+BT$2))+($D$5-$D$6)),$E78,(RiskSlide!$A$7),($G78+BT$3),((RiskSlide!$A$12)/260),$C78,$B78,RiskSlide!$H107)</f>
        <v>2647.2784455334136</v>
      </c>
      <c r="BU78">
        <f>PnL((($D$7*(1+BU$2))+($D$5-$D$6)),$E78,(RiskSlide!$A$7),($G78+BU$3),((RiskSlide!$A$12)/260),$C78,$B78,RiskSlide!$H107)</f>
        <v>3533.693041793329</v>
      </c>
      <c r="BV78">
        <f>PnL((($D$7*(1+BV$2))+($D$5-$D$6)),$E78,(RiskSlide!$A$7),($G78+BV$3),((RiskSlide!$A$12)/260),$C78,$B78,RiskSlide!$H107)</f>
        <v>847.74123529002736</v>
      </c>
      <c r="BW78">
        <f>PnL((($D$7*(1+BW$2))+($D$5-$D$6)),$E78,(RiskSlide!$A$7),($G78+BW$3),((RiskSlide!$A$12)/260),$C78,$B78,RiskSlide!$H107)</f>
        <v>2172.3997571018117</v>
      </c>
      <c r="BX78">
        <f>PnL((($D$7*(1+BX$2))+($D$5-$D$6)),$E78,(RiskSlide!$A$7),($G78+BX$3),((RiskSlide!$A$12)/260),$C78,$B78,RiskSlide!$H107)</f>
        <v>2967.2015756562305</v>
      </c>
      <c r="BY78">
        <f>PnL((($D$7*(1+BY$2))+($D$5-$D$6)),$E78,(RiskSlide!$A$7),($G78+BY$3),((RiskSlide!$A$12)/260),$C78,$B78,RiskSlide!$H107)</f>
        <v>3045.1350292907418</v>
      </c>
      <c r="BZ78">
        <f>PnL((($D$7*(1+BZ$2))+($D$5-$D$6)),$E78,(RiskSlide!$A$7),($G78+BZ$3),((RiskSlide!$A$12)/260),$C78,$B78,RiskSlide!$H107)</f>
        <v>3117.7341000241768</v>
      </c>
      <c r="CA78">
        <f>PnL((($D$7*(1+CA$2))+($D$5-$D$6)),$E78,(RiskSlide!$A$7),($G78+CA$3),((RiskSlide!$A$12)/260),$C78,$B78,RiskSlide!$H107)</f>
        <v>3184.8536028304861</v>
      </c>
      <c r="CB78">
        <f>PnL((($D$7*(1+CB$2))+($D$5-$D$6)),$E78,(RiskSlide!$A$7),($G78+CB$3),((RiskSlide!$A$12)/260),$C78,$B78,RiskSlide!$H107)</f>
        <v>3246.3701106337453</v>
      </c>
      <c r="CC78">
        <f>PnL((($D$7*(1+CC$2))+($D$5-$D$6)),$E78,(RiskSlide!$A$7),($G78+CC$3),((RiskSlide!$A$12)/260),$C78,$B78,RiskSlide!$H107)</f>
        <v>3535.77085580314</v>
      </c>
      <c r="CD78">
        <f>PnL((($D$7*(1+CD$2))+($D$5-$D$6)),$E78,(RiskSlide!$A$7),($G78+CD$3),((RiskSlide!$A$12)/260),$C78,$B78,RiskSlide!$H107)</f>
        <v>3573.7878773656853</v>
      </c>
      <c r="CE78">
        <f>PnL((($D$7*(1+CE$2))+($D$5-$D$6)),$E78,(RiskSlide!$A$7),($G78+CE$3),((RiskSlide!$A$12)/260),$C78,$B78,RiskSlide!$H107)</f>
        <v>2804.954930536951</v>
      </c>
      <c r="CF78">
        <f>PnL((($D$7*(1+CF$2))+($D$5-$D$6)),$E78,(RiskSlide!$A$7),($G78+CF$3),((RiskSlide!$A$12)/260),$C78,$B78,RiskSlide!$H107)</f>
        <v>3337.8517605650986</v>
      </c>
      <c r="CG78">
        <f>PnL((($D$7*(1+CG$2))+($D$5-$D$6)),$E78,(RiskSlide!$A$7),($G78+CG$3),((RiskSlide!$A$12)/260),$C78,$B78,RiskSlide!$H107)</f>
        <v>3526.6538704908912</v>
      </c>
      <c r="CH78">
        <f>PnL((($D$7*(1+CH$2))+($D$5-$D$6)),$E78,(RiskSlide!$A$7),($G78+CH$3),((RiskSlide!$A$12)/260),$C78,$B78,RiskSlide!$H107)</f>
        <v>3538.0310355432912</v>
      </c>
      <c r="CI78">
        <f>PnL((($D$7*(1+CI$2))+($D$5-$D$6)),$E78,(RiskSlide!$A$7),($G78+CI$3),((RiskSlide!$A$12)/260),$C78,$B78,RiskSlide!$H107)</f>
        <v>3547.3022211957423</v>
      </c>
      <c r="CJ78">
        <f>PnL((($D$7*(1+CJ$2))+($D$5-$D$6)),$E78,(RiskSlide!$A$7),($G78+CJ$3),((RiskSlide!$A$12)/260),$C78,$B78,RiskSlide!$H107)</f>
        <v>3554.6941485691782</v>
      </c>
      <c r="CK78">
        <f>PnL((($D$7*(1+CK$2))+($D$5-$D$6)),$E78,(RiskSlide!$A$7),($G78+CK$3),((RiskSlide!$A$12)/260),$C78,$B78,RiskSlide!$H107)</f>
        <v>3560.4420248018655</v>
      </c>
      <c r="CL78">
        <f>PnL((($D$7*(1+CL$2))+($D$5-$D$6)),$E78,(RiskSlide!$A$7),($G78+CL$3),((RiskSlide!$A$12)/260),$C78,$B78,RiskSlide!$H107)</f>
        <v>3573.6767237067547</v>
      </c>
      <c r="CM78">
        <f>PnL((($D$7*(1+CM$2))+($D$5-$D$6)),$E78,(RiskSlide!$A$7),($G78+CM$3),((RiskSlide!$A$12)/260),$C78,$B78,RiskSlide!$H107)</f>
        <v>3573.7884928601034</v>
      </c>
    </row>
    <row r="79" spans="1:91" x14ac:dyDescent="0.25">
      <c r="A79" t="s">
        <v>74</v>
      </c>
      <c r="B79">
        <v>1</v>
      </c>
      <c r="C79">
        <v>0</v>
      </c>
      <c r="E79">
        <v>1750</v>
      </c>
      <c r="F79">
        <v>3.5000000000000001E-3</v>
      </c>
      <c r="G79">
        <v>0.14291999999999999</v>
      </c>
      <c r="K79">
        <f>PnL((($D$7*(1+K$2))+($D$5-$D$6)),$E79,(RiskSlide!$A$7),($G79+K$3),((RiskSlide!$A$12)/260),$C79,$B79,RiskSlide!$H108)</f>
        <v>6963.5759361531545</v>
      </c>
      <c r="L79">
        <f>PnL((($D$7*(1+L$2))+($D$5-$D$6)),$E79,(RiskSlide!$A$7),($G79+L$3),((RiskSlide!$A$12)/260),$C79,$B79,RiskSlide!$H108)</f>
        <v>6767.1445123433386</v>
      </c>
      <c r="M79">
        <f>PnL((($D$7*(1+M$2))+($D$5-$D$6)),$E79,(RiskSlide!$A$7),($G79+M$3),((RiskSlide!$A$12)/260),$C79,$B79,RiskSlide!$H108)</f>
        <v>6676.4217199197792</v>
      </c>
      <c r="N79">
        <f>PnL((($D$7*(1+N$2))+($D$5-$D$6)),$E79,(RiskSlide!$A$7),($G79+N$3),((RiskSlide!$A$12)/260),$C79,$B79,RiskSlide!$H108)</f>
        <v>6669.4113100025679</v>
      </c>
      <c r="O79">
        <f>PnL((($D$7*(1+O$2))+($D$5-$D$6)),$E79,(RiskSlide!$A$7),($G79+O$3),((RiskSlide!$A$12)/260),$C79,$B79,RiskSlide!$H108)</f>
        <v>6663.3059463679501</v>
      </c>
      <c r="P79">
        <f>PnL((($D$7*(1+P$2))+($D$5-$D$6)),$E79,(RiskSlide!$A$7),($G79+P$3),((RiskSlide!$A$12)/260),$C79,$B79,RiskSlide!$H108)</f>
        <v>6658.0679992245568</v>
      </c>
      <c r="Q79">
        <f>PnL((($D$7*(1+Q$2))+($D$5-$D$6)),$E79,(RiskSlide!$A$7),($G79+Q$3),((RiskSlide!$A$12)/260),$C79,$B79,RiskSlide!$H108)</f>
        <v>6653.6511287153644</v>
      </c>
      <c r="R79">
        <f>PnL((($D$7*(1+R$2))+($D$5-$D$6)),$E79,(RiskSlide!$A$7),($G79+R$3),((RiskSlide!$A$12)/260),$C79,$B79,RiskSlide!$H108)</f>
        <v>6639.7905562933938</v>
      </c>
      <c r="S79">
        <f>PnL((($D$7*(1+S$2))+($D$5-$D$6)),$E79,(RiskSlide!$A$7),($G79+S$3),((RiskSlide!$A$12)/260),$C79,$B79,RiskSlide!$H108)</f>
        <v>6639.3839122947838</v>
      </c>
      <c r="T79">
        <f>PnL((($D$7*(1+T$2))+($D$5-$D$6)),$E79,(RiskSlide!$A$7),($G79+T$3),((RiskSlide!$A$12)/260),$C79,$B79,RiskSlide!$H108)</f>
        <v>3445.6833594710474</v>
      </c>
      <c r="U79">
        <f>PnL((($D$7*(1+U$2))+($D$5-$D$6)),$E79,(RiskSlide!$A$7),($G79+U$3),((RiskSlide!$A$12)/260),$C79,$B79,RiskSlide!$H108)</f>
        <v>3000.0573429110545</v>
      </c>
      <c r="V79">
        <f>PnL((($D$7*(1+V$2))+($D$5-$D$6)),$E79,(RiskSlide!$A$7),($G79+V$3),((RiskSlide!$A$12)/260),$C79,$B79,RiskSlide!$H108)</f>
        <v>2674.4562937455157</v>
      </c>
      <c r="W79">
        <f>PnL((($D$7*(1+W$2))+($D$5-$D$6)),$E79,(RiskSlide!$A$7),($G79+W$3),((RiskSlide!$A$12)/260),$C79,$B79,RiskSlide!$H108)</f>
        <v>2636.7093502506009</v>
      </c>
      <c r="X79">
        <f>PnL((($D$7*(1+X$2))+($D$5-$D$6)),$E79,(RiskSlide!$A$7),($G79+X$3),((RiskSlide!$A$12)/260),$C79,$B79,RiskSlide!$H108)</f>
        <v>2599.8000910870701</v>
      </c>
      <c r="Y79">
        <f>PnL((($D$7*(1+Y$2))+($D$5-$D$6)),$E79,(RiskSlide!$A$7),($G79+Y$3),((RiskSlide!$A$12)/260),$C79,$B79,RiskSlide!$H108)</f>
        <v>2563.7979690568386</v>
      </c>
      <c r="Z79">
        <f>PnL((($D$7*(1+Z$2))+($D$5-$D$6)),$E79,(RiskSlide!$A$7),($G79+Z$3),((RiskSlide!$A$12)/260),$C79,$B79,RiskSlide!$H108)</f>
        <v>2528.779220580634</v>
      </c>
      <c r="AA79">
        <f>PnL((($D$7*(1+AA$2))+($D$5-$D$6)),$E79,(RiskSlide!$A$7),($G79+AA$3),((RiskSlide!$A$12)/260),$C79,$B79,RiskSlide!$H108)</f>
        <v>2295.8236711738778</v>
      </c>
      <c r="AB79">
        <f>PnL((($D$7*(1+AB$2))+($D$5-$D$6)),$E79,(RiskSlide!$A$7),($G79+AB$3),((RiskSlide!$A$12)/260),$C79,$B79,RiskSlide!$H108)</f>
        <v>2185.5638757547695</v>
      </c>
      <c r="AC79">
        <f>PnL((($D$7*(1+AC$2))+($D$5-$D$6)),$E79,(RiskSlide!$A$7),($G79+AC$3),((RiskSlide!$A$12)/260),$C79,$B79,RiskSlide!$H108)</f>
        <v>1416.9040894260093</v>
      </c>
      <c r="AD79">
        <f>PnL((($D$7*(1+AD$2))+($D$5-$D$6)),$E79,(RiskSlide!$A$7),($G79+AD$3),((RiskSlide!$A$12)/260),$C79,$B79,RiskSlide!$H108)</f>
        <v>887.2166827649437</v>
      </c>
      <c r="AE79">
        <f>PnL((($D$7*(1+AE$2))+($D$5-$D$6)),$E79,(RiskSlide!$A$7),($G79+AE$3),((RiskSlide!$A$12)/260),$C79,$B79,RiskSlide!$H108)</f>
        <v>464.03771073483426</v>
      </c>
      <c r="AF79">
        <f>PnL((($D$7*(1+AF$2))+($D$5-$D$6)),$E79,(RiskSlide!$A$7),($G79+AF$3),((RiskSlide!$A$12)/260),$C79,$B79,RiskSlide!$H108)</f>
        <v>411.20320750090968</v>
      </c>
      <c r="AG79">
        <f>PnL((($D$7*(1+AG$2))+($D$5-$D$6)),$E79,(RiskSlide!$A$7),($G79+AG$3),((RiskSlide!$A$12)/260),$C79,$B79,RiskSlide!$H108)</f>
        <v>358.38799838482487</v>
      </c>
      <c r="AH79">
        <f>PnL((($D$7*(1+AH$2))+($D$5-$D$6)),$E79,(RiskSlide!$A$7),($G79+AH$3),((RiskSlide!$A$12)/260),$C79,$B79,RiskSlide!$H108)</f>
        <v>305.59430199911617</v>
      </c>
      <c r="AI79">
        <f>PnL((($D$7*(1+AI$2))+($D$5-$D$6)),$E79,(RiskSlide!$A$7),($G79+AI$3),((RiskSlide!$A$12)/260),$C79,$B79,RiskSlide!$H108)</f>
        <v>252.82466438361553</v>
      </c>
      <c r="AJ79">
        <f>PnL((($D$7*(1+AJ$2))+($D$5-$D$6)),$E79,(RiskSlide!$A$7),($G79+AJ$3),((RiskSlide!$A$12)/260),$C79,$B79,RiskSlide!$H108)</f>
        <v>-167.98368505993153</v>
      </c>
      <c r="AK79">
        <f>PnL((($D$7*(1+AK$2))+($D$5-$D$6)),$E79,(RiskSlide!$A$7),($G79+AK$3),((RiskSlide!$A$12)/260),$C79,$B79,RiskSlide!$H108)</f>
        <v>-683.16946434402439</v>
      </c>
      <c r="AL79">
        <f>PnL((($D$7*(1+AL$2))+($D$5-$D$6)),$E79,(RiskSlide!$A$7),($G79+AL$3),((RiskSlide!$A$12)/260),$C79,$B79,RiskSlide!$H108)</f>
        <v>1218.2448420049241</v>
      </c>
      <c r="AM79">
        <f>PnL((($D$7*(1+AM$2))+($D$5-$D$6)),$E79,(RiskSlide!$A$7),($G79+AM$3),((RiskSlide!$A$12)/260),$C79,$B79,RiskSlide!$H108)</f>
        <v>691.73023357883494</v>
      </c>
      <c r="AN79">
        <f>PnL((($D$7*(1+AN$2))+($D$5-$D$6)),$E79,(RiskSlide!$A$7),($G79+AN$3),((RiskSlide!$A$12)/260),$C79,$B79,RiskSlide!$H108)</f>
        <v>273.19350657498376</v>
      </c>
      <c r="AO79">
        <f>PnL((($D$7*(1+AO$2))+($D$5-$D$6)),$E79,(RiskSlide!$A$7),($G79+AO$3),((RiskSlide!$A$12)/260),$C79,$B79,RiskSlide!$H108)</f>
        <v>221.15385833500341</v>
      </c>
      <c r="AP79">
        <f>PnL((($D$7*(1+AP$2))+($D$5-$D$6)),$E79,(RiskSlide!$A$7),($G79+AP$3),((RiskSlide!$A$12)/260),$C79,$B79,RiskSlide!$H108)</f>
        <v>169.19754894781249</v>
      </c>
      <c r="AQ79">
        <f>PnL((($D$7*(1+AQ$2))+($D$5-$D$6)),$E79,(RiskSlide!$A$7),($G79+AQ$3),((RiskSlide!$A$12)/260),$C79,$B79,RiskSlide!$H108)</f>
        <v>117.33361222869689</v>
      </c>
      <c r="AR79">
        <f>PnL((($D$7*(1+AR$2))+($D$5-$D$6)),$E79,(RiskSlide!$A$7),($G79+AR$3),((RiskSlide!$A$12)/260),$C79,$B79,RiskSlide!$H108)</f>
        <v>65.572405296239822</v>
      </c>
      <c r="AS79">
        <f>PnL((($D$7*(1+AS$2))+($D$5-$D$6)),$E79,(RiskSlide!$A$7),($G79+AS$3),((RiskSlide!$A$12)/260),$C79,$B79,RiskSlide!$H108)</f>
        <v>-342.86967808581608</v>
      </c>
      <c r="AT79">
        <f>PnL((($D$7*(1+AT$2))+($D$5-$D$6)),$E79,(RiskSlide!$A$7),($G79+AT$3),((RiskSlide!$A$12)/260),$C79,$B79,RiskSlide!$H108)</f>
        <v>-810.843155903612</v>
      </c>
      <c r="AU79">
        <f>PnL((($D$7*(1+AU$2))+($D$5-$D$6)),$E79,(RiskSlide!$A$7),($G79+AU$3),((RiskSlide!$A$12)/260),$C79,$B79,RiskSlide!$H108)</f>
        <v>1031.549597761034</v>
      </c>
      <c r="AV79">
        <f>PnL((($D$7*(1+AV$2))+($D$5-$D$6)),$E79,(RiskSlide!$A$7),($G79+AV$3),((RiskSlide!$A$12)/260),$C79,$B79,RiskSlide!$H108)</f>
        <v>511.23112939998236</v>
      </c>
      <c r="AW79">
        <f>PnL((($D$7*(1+AW$2))+($D$5-$D$6)),$E79,(RiskSlide!$A$7),($G79+AW$3),((RiskSlide!$A$12)/260),$C79,$B79,RiskSlide!$H108)</f>
        <v>101.09715789386087</v>
      </c>
      <c r="AX79">
        <f>PnL((($D$7*(1+AX$2))+($D$5-$D$6)),$E79,(RiskSlide!$A$7),($G79+AX$3),((RiskSlide!$A$12)/260),$C79,$B79,RiskSlide!$H108)</f>
        <v>50.455469506920281</v>
      </c>
      <c r="AY79">
        <f>PnL((($D$7*(1+AY$2))+($D$5-$D$6)),$E79,(RiskSlide!$A$7),($G79+AY$3),((RiskSlide!$A$12)/260),$C79,$B79,RiskSlide!$H108)</f>
        <v>0</v>
      </c>
      <c r="AZ79">
        <f>PnL((($D$7*(1+AZ$2))+($D$5-$D$6)),$E79,(RiskSlide!$A$7),($G79+AZ$3),((RiskSlide!$A$12)/260),$C79,$B79,RiskSlide!$H108)</f>
        <v>-50.249676805492527</v>
      </c>
      <c r="BA79">
        <f>PnL((($D$7*(1+BA$2))+($D$5-$D$6)),$E79,(RiskSlide!$A$7),($G79+BA$3),((RiskSlide!$A$12)/260),$C79,$B79,RiskSlide!$H108)</f>
        <v>-100.27120319194864</v>
      </c>
      <c r="BB79">
        <f>PnL((($D$7*(1+BB$2))+($D$5-$D$6)),$E79,(RiskSlide!$A$7),($G79+BB$3),((RiskSlide!$A$12)/260),$C79,$B79,RiskSlide!$H108)</f>
        <v>-488.0945080838444</v>
      </c>
      <c r="BC79">
        <f>PnL((($D$7*(1+BC$2))+($D$5-$D$6)),$E79,(RiskSlide!$A$7),($G79+BC$3),((RiskSlide!$A$12)/260),$C79,$B79,RiskSlide!$H108)</f>
        <v>-887.30324512985987</v>
      </c>
      <c r="BD79">
        <f>PnL((($D$7*(1+BD$2))+($D$5-$D$6)),$E79,(RiskSlide!$A$7),($G79+BD$3),((RiskSlide!$A$12)/260),$C79,$B79,RiskSlide!$H108)</f>
        <v>856.59403675628027</v>
      </c>
      <c r="BE79">
        <f>PnL((($D$7*(1+BE$2))+($D$5-$D$6)),$E79,(RiskSlide!$A$7),($G79+BE$3),((RiskSlide!$A$12)/260),$C79,$B79,RiskSlide!$H108)</f>
        <v>345.34079672817484</v>
      </c>
      <c r="BF79">
        <f>PnL((($D$7*(1+BF$2))+($D$5-$D$6)),$E79,(RiskSlide!$A$7),($G79+BF$3),((RiskSlide!$A$12)/260),$C79,$B79,RiskSlide!$H108)</f>
        <v>-52.918497142900378</v>
      </c>
      <c r="BG79">
        <f>PnL((($D$7*(1+BG$2))+($D$5-$D$6)),$E79,(RiskSlide!$A$7),($G79+BG$3),((RiskSlide!$A$12)/260),$C79,$B79,RiskSlide!$H108)</f>
        <v>-101.61727864727368</v>
      </c>
      <c r="BH79">
        <f>PnL((($D$7*(1+BH$2))+($D$5-$D$6)),$E79,(RiskSlide!$A$7),($G79+BH$3),((RiskSlide!$A$12)/260),$C79,$B79,RiskSlide!$H108)</f>
        <v>-149.99589235269468</v>
      </c>
      <c r="BI79">
        <f>PnL((($D$7*(1+BI$2))+($D$5-$D$6)),$E79,(RiskSlide!$A$7),($G79+BI$3),((RiskSlide!$A$12)/260),$C79,$B79,RiskSlide!$H108)</f>
        <v>-198.02186346321378</v>
      </c>
      <c r="BJ79">
        <f>PnL((($D$7*(1+BJ$2))+($D$5-$D$6)),$E79,(RiskSlide!$A$7),($G79+BJ$3),((RiskSlide!$A$12)/260),$C79,$B79,RiskSlide!$H108)</f>
        <v>-245.65830516401661</v>
      </c>
      <c r="BK79">
        <f>PnL((($D$7*(1+BK$2))+($D$5-$D$6)),$E79,(RiskSlide!$A$7),($G79+BK$3),((RiskSlide!$A$12)/260),$C79,$B79,RiskSlide!$H108)</f>
        <v>-606.07497285368481</v>
      </c>
      <c r="BL79">
        <f>PnL((($D$7*(1+BL$2))+($D$5-$D$6)),$E79,(RiskSlide!$A$7),($G79+BL$3),((RiskSlide!$A$12)/260),$C79,$B79,RiskSlide!$H108)</f>
        <v>-928.16390683834834</v>
      </c>
      <c r="BM79">
        <f>PnL((($D$7*(1+BM$2))+($D$5-$D$6)),$E79,(RiskSlide!$A$7),($G79+BM$3),((RiskSlide!$A$12)/260),$C79,$B79,RiskSlide!$H108)</f>
        <v>693.10618035759717</v>
      </c>
      <c r="BN79">
        <f>PnL((($D$7*(1+BN$2))+($D$5-$D$6)),$E79,(RiskSlide!$A$7),($G79+BN$3),((RiskSlide!$A$12)/260),$C79,$B79,RiskSlide!$H108)</f>
        <v>193.58843884580779</v>
      </c>
      <c r="BO79">
        <f>PnL((($D$7*(1+BO$2))+($D$5-$D$6)),$E79,(RiskSlide!$A$7),($G79+BO$3),((RiskSlide!$A$12)/260),$C79,$B79,RiskSlide!$H108)</f>
        <v>-189.69508568007996</v>
      </c>
      <c r="BP79">
        <f>PnL((($D$7*(1+BP$2))+($D$5-$D$6)),$E79,(RiskSlide!$A$7),($G79+BP$3),((RiskSlide!$A$12)/260),$C79,$B79,RiskSlide!$H108)</f>
        <v>-235.98024095576307</v>
      </c>
      <c r="BQ79">
        <f>PnL((($D$7*(1+BQ$2))+($D$5-$D$6)),$E79,(RiskSlide!$A$7),($G79+BQ$3),((RiskSlide!$A$12)/260),$C79,$B79,RiskSlide!$H108)</f>
        <v>-281.78988089687778</v>
      </c>
      <c r="BR79">
        <f>PnL((($D$7*(1+BR$2))+($D$5-$D$6)),$E79,(RiskSlide!$A$7),($G79+BR$3),((RiskSlide!$A$12)/260),$C79,$B79,RiskSlide!$H108)</f>
        <v>-327.07789458202114</v>
      </c>
      <c r="BS79">
        <f>PnL((($D$7*(1+BS$2))+($D$5-$D$6)),$E79,(RiskSlide!$A$7),($G79+BS$3),((RiskSlide!$A$12)/260),$C79,$B79,RiskSlide!$H108)</f>
        <v>-371.79229628080179</v>
      </c>
      <c r="BT79">
        <f>PnL((($D$7*(1+BT$2))+($D$5-$D$6)),$E79,(RiskSlide!$A$7),($G79+BT$3),((RiskSlide!$A$12)/260),$C79,$B79,RiskSlide!$H108)</f>
        <v>-699.79310733674538</v>
      </c>
      <c r="BU79">
        <f>PnL((($D$7*(1+BU$2))+($D$5-$D$6)),$E79,(RiskSlide!$A$7),($G79+BU$3),((RiskSlide!$A$12)/260),$C79,$B79,RiskSlide!$H108)</f>
        <v>-947.56595779872259</v>
      </c>
      <c r="BV79">
        <f>PnL((($D$7*(1+BV$2))+($D$5-$D$6)),$E79,(RiskSlide!$A$7),($G79+BV$3),((RiskSlide!$A$12)/260),$C79,$B79,RiskSlide!$H108)</f>
        <v>-246.65737592586652</v>
      </c>
      <c r="BW79">
        <f>PnL((($D$7*(1+BW$2))+($D$5-$D$6)),$E79,(RiskSlide!$A$7),($G79+BW$3),((RiskSlide!$A$12)/260),$C79,$B79,RiskSlide!$H108)</f>
        <v>-588.94037481948942</v>
      </c>
      <c r="BX79">
        <f>PnL((($D$7*(1+BX$2))+($D$5-$D$6)),$E79,(RiskSlide!$A$7),($G79+BX$3),((RiskSlide!$A$12)/260),$C79,$B79,RiskSlide!$H108)</f>
        <v>-797.17871305122685</v>
      </c>
      <c r="BY79">
        <f>PnL((($D$7*(1+BY$2))+($D$5-$D$6)),$E79,(RiskSlide!$A$7),($G79+BY$3),((RiskSlide!$A$12)/260),$C79,$B79,RiskSlide!$H108)</f>
        <v>-817.81383209163459</v>
      </c>
      <c r="BZ79">
        <f>PnL((($D$7*(1+BZ$2))+($D$5-$D$6)),$E79,(RiskSlide!$A$7),($G79+BZ$3),((RiskSlide!$A$12)/260),$C79,$B79,RiskSlide!$H108)</f>
        <v>-837.08880995106085</v>
      </c>
      <c r="CA79">
        <f>PnL((($D$7*(1+CA$2))+($D$5-$D$6)),$E79,(RiskSlide!$A$7),($G79+CA$3),((RiskSlide!$A$12)/260),$C79,$B79,RiskSlide!$H108)</f>
        <v>-854.96034507330728</v>
      </c>
      <c r="CB79">
        <f>PnL((($D$7*(1+CB$2))+($D$5-$D$6)),$E79,(RiskSlide!$A$7),($G79+CB$3),((RiskSlide!$A$12)/260),$C79,$B79,RiskSlide!$H108)</f>
        <v>-871.38996037522247</v>
      </c>
      <c r="CC79">
        <f>PnL((($D$7*(1+CC$2))+($D$5-$D$6)),$E79,(RiskSlide!$A$7),($G79+CC$3),((RiskSlide!$A$12)/260),$C79,$B79,RiskSlide!$H108)</f>
        <v>-949.68262841403987</v>
      </c>
      <c r="CD79">
        <f>PnL((($D$7*(1+CD$2))+($D$5-$D$6)),$E79,(RiskSlide!$A$7),($G79+CD$3),((RiskSlide!$A$12)/260),$C79,$B79,RiskSlide!$H108)</f>
        <v>-960.15131254158041</v>
      </c>
      <c r="CE79">
        <f>PnL((($D$7*(1+CE$2))+($D$5-$D$6)),$E79,(RiskSlide!$A$7),($G79+CE$3),((RiskSlide!$A$12)/260),$C79,$B79,RiskSlide!$H108)</f>
        <v>-758.97410509375118</v>
      </c>
      <c r="CF79">
        <f>PnL((($D$7*(1+CF$2))+($D$5-$D$6)),$E79,(RiskSlide!$A$7),($G79+CF$3),((RiskSlide!$A$12)/260),$C79,$B79,RiskSlide!$H108)</f>
        <v>-897.91825407743033</v>
      </c>
      <c r="CG79">
        <f>PnL((($D$7*(1+CG$2))+($D$5-$D$6)),$E79,(RiskSlide!$A$7),($G79+CG$3),((RiskSlide!$A$12)/260),$C79,$B79,RiskSlide!$H108)</f>
        <v>-947.67921104679328</v>
      </c>
      <c r="CH79">
        <f>PnL((($D$7*(1+CH$2))+($D$5-$D$6)),$E79,(RiskSlide!$A$7),($G79+CH$3),((RiskSlide!$A$12)/260),$C79,$B79,RiskSlide!$H108)</f>
        <v>-950.69414891409497</v>
      </c>
      <c r="CI79">
        <f>PnL((($D$7*(1+CI$2))+($D$5-$D$6)),$E79,(RiskSlide!$A$7),($G79+CI$3),((RiskSlide!$A$12)/260),$C79,$B79,RiskSlide!$H108)</f>
        <v>-953.15226735649435</v>
      </c>
      <c r="CJ79">
        <f>PnL((($D$7*(1+CJ$2))+($D$5-$D$6)),$E79,(RiskSlide!$A$7),($G79+CJ$3),((RiskSlide!$A$12)/260),$C79,$B79,RiskSlide!$H108)</f>
        <v>-955.11249729757856</v>
      </c>
      <c r="CK79">
        <f>PnL((($D$7*(1+CK$2))+($D$5-$D$6)),$E79,(RiskSlide!$A$7),($G79+CK$3),((RiskSlide!$A$12)/260),$C79,$B79,RiskSlide!$H108)</f>
        <v>-956.63637715506627</v>
      </c>
      <c r="CL79">
        <f>PnL((($D$7*(1+CL$2))+($D$5-$D$6)),$E79,(RiskSlide!$A$7),($G79+CL$3),((RiskSlide!$A$12)/260),$C79,$B79,RiskSlide!$H108)</f>
        <v>-960.12419741464771</v>
      </c>
      <c r="CM79">
        <f>PnL((($D$7*(1+CM$2))+($D$5-$D$6)),$E79,(RiskSlide!$A$7),($G79+CM$3),((RiskSlide!$A$12)/260),$C79,$B79,RiskSlide!$H108)</f>
        <v>-960.15142301250762</v>
      </c>
    </row>
    <row r="80" spans="1:91" x14ac:dyDescent="0.25">
      <c r="A80" t="s">
        <v>75</v>
      </c>
      <c r="B80">
        <v>1</v>
      </c>
      <c r="C80">
        <v>0</v>
      </c>
      <c r="E80">
        <v>1760</v>
      </c>
      <c r="F80">
        <v>3.5000000000000001E-3</v>
      </c>
      <c r="G80">
        <v>0.13811100000000001</v>
      </c>
      <c r="K80">
        <f>PnL((($D$7*(1+K$2))+($D$5-$D$6)),$E80,(RiskSlide!$A$7),($G80+K$3),((RiskSlide!$A$12)/260),$C80,$B80,RiskSlide!$H109)</f>
        <v>7245.8723915958726</v>
      </c>
      <c r="L80">
        <f>PnL((($D$7*(1+L$2))+($D$5-$D$6)),$E80,(RiskSlide!$A$7),($G80+L$3),((RiskSlide!$A$12)/260),$C80,$B80,RiskSlide!$H109)</f>
        <v>7079.625818443179</v>
      </c>
      <c r="M80">
        <f>PnL((($D$7*(1+M$2))+($D$5-$D$6)),$E80,(RiskSlide!$A$7),($G80+M$3),((RiskSlide!$A$12)/260),$C80,$B80,RiskSlide!$H109)</f>
        <v>7011.3199353984501</v>
      </c>
      <c r="N80">
        <f>PnL((($D$7*(1+N$2))+($D$5-$D$6)),$E80,(RiskSlide!$A$7),($G80+N$3),((RiskSlide!$A$12)/260),$C80,$B80,RiskSlide!$H109)</f>
        <v>7006.6328209339927</v>
      </c>
      <c r="O80">
        <f>PnL((($D$7*(1+O$2))+($D$5-$D$6)),$E80,(RiskSlide!$A$7),($G80+O$3),((RiskSlide!$A$12)/260),$C80,$B80,RiskSlide!$H109)</f>
        <v>7002.6876906193993</v>
      </c>
      <c r="P80">
        <f>PnL((($D$7*(1+P$2))+($D$5-$D$6)),$E80,(RiskSlide!$A$7),($G80+P$3),((RiskSlide!$A$12)/260),$C80,$B80,RiskSlide!$H109)</f>
        <v>6999.4308142825103</v>
      </c>
      <c r="Q80">
        <f>PnL((($D$7*(1+Q$2))+($D$5-$D$6)),$E80,(RiskSlide!$A$7),($G80+Q$3),((RiskSlide!$A$12)/260),$C80,$B80,RiskSlide!$H109)</f>
        <v>6996.8016528187318</v>
      </c>
      <c r="R80">
        <f>PnL((($D$7*(1+R$2))+($D$5-$D$6)),$E80,(RiskSlide!$A$7),($G80+R$3),((RiskSlide!$A$12)/260),$C80,$B80,RiskSlide!$H109)</f>
        <v>6989.9633514380466</v>
      </c>
      <c r="S80">
        <f>PnL((($D$7*(1+S$2))+($D$5-$D$6)),$E80,(RiskSlide!$A$7),($G80+S$3),((RiskSlide!$A$12)/260),$C80,$B80,RiskSlide!$H109)</f>
        <v>6989.8784012376209</v>
      </c>
      <c r="T80">
        <f>PnL((($D$7*(1+T$2))+($D$5-$D$6)),$E80,(RiskSlide!$A$7),($G80+T$3),((RiskSlide!$A$12)/260),$C80,$B80,RiskSlide!$H109)</f>
        <v>3611.8847058508836</v>
      </c>
      <c r="U80">
        <f>PnL((($D$7*(1+U$2))+($D$5-$D$6)),$E80,(RiskSlide!$A$7),($G80+U$3),((RiskSlide!$A$12)/260),$C80,$B80,RiskSlide!$H109)</f>
        <v>3191.5649422198212</v>
      </c>
      <c r="V80">
        <f>PnL((($D$7*(1+V$2))+($D$5-$D$6)),$E80,(RiskSlide!$A$7),($G80+V$3),((RiskSlide!$A$12)/260),$C80,$B80,RiskSlide!$H109)</f>
        <v>2896.491914708241</v>
      </c>
      <c r="W80">
        <f>PnL((($D$7*(1+W$2))+($D$5-$D$6)),$E80,(RiskSlide!$A$7),($G80+W$3),((RiskSlide!$A$12)/260),$C80,$B80,RiskSlide!$H109)</f>
        <v>2863.4657515124272</v>
      </c>
      <c r="X80">
        <f>PnL((($D$7*(1+X$2))+($D$5-$D$6)),$E80,(RiskSlide!$A$7),($G80+X$3),((RiskSlide!$A$12)/260),$C80,$B80,RiskSlide!$H109)</f>
        <v>2831.5149317932137</v>
      </c>
      <c r="Y80">
        <f>PnL((($D$7*(1+Y$2))+($D$5-$D$6)),$E80,(RiskSlide!$A$7),($G80+Y$3),((RiskSlide!$A$12)/260),$C80,$B80,RiskSlide!$H109)</f>
        <v>2800.7195548989839</v>
      </c>
      <c r="Z80">
        <f>PnL((($D$7*(1+Z$2))+($D$5-$D$6)),$E80,(RiskSlide!$A$7),($G80+Z$3),((RiskSlide!$A$12)/260),$C80,$B80,RiskSlide!$H109)</f>
        <v>2771.1655752993638</v>
      </c>
      <c r="AA80">
        <f>PnL((($D$7*(1+AA$2))+($D$5-$D$6)),$E80,(RiskSlide!$A$7),($G80+AA$3),((RiskSlide!$A$12)/260),$C80,$B80,RiskSlide!$H109)</f>
        <v>2591.3102255956856</v>
      </c>
      <c r="AB80">
        <f>PnL((($D$7*(1+AB$2))+($D$5-$D$6)),$E80,(RiskSlide!$A$7),($G80+AB$3),((RiskSlide!$A$12)/260),$C80,$B80,RiskSlide!$H109)</f>
        <v>2535.2596283301691</v>
      </c>
      <c r="AC80">
        <f>PnL((($D$7*(1+AC$2))+($D$5-$D$6)),$E80,(RiskSlide!$A$7),($G80+AC$3),((RiskSlide!$A$12)/260),$C80,$B80,RiskSlide!$H109)</f>
        <v>1468.4205214074211</v>
      </c>
      <c r="AD80">
        <f>PnL((($D$7*(1+AD$2))+($D$5-$D$6)),$E80,(RiskSlide!$A$7),($G80+AD$3),((RiskSlide!$A$12)/260),$C80,$B80,RiskSlide!$H109)</f>
        <v>935.86101766509842</v>
      </c>
      <c r="AE80">
        <f>PnL((($D$7*(1+AE$2))+($D$5-$D$6)),$E80,(RiskSlide!$A$7),($G80+AE$3),((RiskSlide!$A$12)/260),$C80,$B80,RiskSlide!$H109)</f>
        <v>509.75527898220889</v>
      </c>
      <c r="AF80">
        <f>PnL((($D$7*(1+AF$2))+($D$5-$D$6)),$E80,(RiskSlide!$A$7),($G80+AF$3),((RiskSlide!$A$12)/260),$C80,$B80,RiskSlide!$H109)</f>
        <v>456.49040611242526</v>
      </c>
      <c r="AG80">
        <f>PnL((($D$7*(1+AG$2))+($D$5-$D$6)),$E80,(RiskSlide!$A$7),($G80+AG$3),((RiskSlide!$A$12)/260),$C80,$B80,RiskSlide!$H109)</f>
        <v>403.22549008373585</v>
      </c>
      <c r="AH80">
        <f>PnL((($D$7*(1+AH$2))+($D$5-$D$6)),$E80,(RiskSlide!$A$7),($G80+AH$3),((RiskSlide!$A$12)/260),$C80,$B80,RiskSlide!$H109)</f>
        <v>349.96065587735075</v>
      </c>
      <c r="AI80">
        <f>PnL((($D$7*(1+AI$2))+($D$5-$D$6)),$E80,(RiskSlide!$A$7),($G80+AI$3),((RiskSlide!$A$12)/260),$C80,$B80,RiskSlide!$H109)</f>
        <v>296.69604318783627</v>
      </c>
      <c r="AJ80">
        <f>PnL((($D$7*(1+AJ$2))+($D$5-$D$6)),$E80,(RiskSlide!$A$7),($G80+AJ$3),((RiskSlide!$A$12)/260),$C80,$B80,RiskSlide!$H109)</f>
        <v>-129.38796036324334</v>
      </c>
      <c r="AK80">
        <f>PnL((($D$7*(1+AK$2))+($D$5-$D$6)),$E80,(RiskSlide!$A$7),($G80+AK$3),((RiskSlide!$A$12)/260),$C80,$B80,RiskSlide!$H109)</f>
        <v>-661.52797381152482</v>
      </c>
      <c r="AL80">
        <f>PnL((($D$7*(1+AL$2))+($D$5-$D$6)),$E80,(RiskSlide!$A$7),($G80+AL$3),((RiskSlide!$A$12)/260),$C80,$B80,RiskSlide!$H109)</f>
        <v>1256.0601329134158</v>
      </c>
      <c r="AM80">
        <f>PnL((($D$7*(1+AM$2))+($D$5-$D$6)),$E80,(RiskSlide!$A$7),($G80+AM$3),((RiskSlide!$A$12)/260),$C80,$B80,RiskSlide!$H109)</f>
        <v>723.20052356965903</v>
      </c>
      <c r="AN80">
        <f>PnL((($D$7*(1+AN$2))+($D$5-$D$6)),$E80,(RiskSlide!$A$7),($G80+AN$3),((RiskSlide!$A$12)/260),$C80,$B80,RiskSlide!$H109)</f>
        <v>297.36327050491695</v>
      </c>
      <c r="AO80">
        <f>PnL((($D$7*(1+AO$2))+($D$5-$D$6)),$E80,(RiskSlide!$A$7),($G80+AO$3),((RiskSlide!$A$12)/260),$C80,$B80,RiskSlide!$H109)</f>
        <v>244.1847994981913</v>
      </c>
      <c r="AP80">
        <f>PnL((($D$7*(1+AP$2))+($D$5-$D$6)),$E80,(RiskSlide!$A$7),($G80+AP$3),((RiskSlide!$A$12)/260),$C80,$B80,RiskSlide!$H109)</f>
        <v>191.02226696467142</v>
      </c>
      <c r="AQ80">
        <f>PnL((($D$7*(1+AQ$2))+($D$5-$D$6)),$E80,(RiskSlide!$A$7),($G80+AQ$3),((RiskSlide!$A$12)/260),$C80,$B80,RiskSlide!$H109)</f>
        <v>137.87759290669328</v>
      </c>
      <c r="AR80">
        <f>PnL((($D$7*(1+AR$2))+($D$5-$D$6)),$E80,(RiskSlide!$A$7),($G80+AR$3),((RiskSlide!$A$12)/260),$C80,$B80,RiskSlide!$H109)</f>
        <v>84.752990969235498</v>
      </c>
      <c r="AS80">
        <f>PnL((($D$7*(1+AS$2))+($D$5-$D$6)),$E80,(RiskSlide!$A$7),($G80+AS$3),((RiskSlide!$A$12)/260),$C80,$B80,RiskSlide!$H109)</f>
        <v>-339.09325396251688</v>
      </c>
      <c r="AT80">
        <f>PnL((($D$7*(1+AT$2))+($D$5-$D$6)),$E80,(RiskSlide!$A$7),($G80+AT$3),((RiskSlide!$A$12)/260),$C80,$B80,RiskSlide!$H109)</f>
        <v>-858.83107812428534</v>
      </c>
      <c r="AU80">
        <f>PnL((($D$7*(1+AU$2))+($D$5-$D$6)),$E80,(RiskSlide!$A$7),($G80+AU$3),((RiskSlide!$A$12)/260),$C80,$B80,RiskSlide!$H109)</f>
        <v>1056.0291162613396</v>
      </c>
      <c r="AV80">
        <f>PnL((($D$7*(1+AV$2))+($D$5-$D$6)),$E80,(RiskSlide!$A$7),($G80+AV$3),((RiskSlide!$A$12)/260),$C80,$B80,RiskSlide!$H109)</f>
        <v>526.13134258530749</v>
      </c>
      <c r="AW80">
        <f>PnL((($D$7*(1+AW$2))+($D$5-$D$6)),$E80,(RiskSlide!$A$7),($G80+AW$3),((RiskSlide!$A$12)/260),$C80,$B80,RiskSlide!$H109)</f>
        <v>104.73699675451371</v>
      </c>
      <c r="AX80">
        <f>PnL((($D$7*(1+AX$2))+($D$5-$D$6)),$E80,(RiskSlide!$A$7),($G80+AX$3),((RiskSlide!$A$12)/260),$C80,$B80,RiskSlide!$H109)</f>
        <v>52.328239535631837</v>
      </c>
      <c r="AY80">
        <f>PnL((($D$7*(1+AY$2))+($D$5-$D$6)),$E80,(RiskSlide!$A$7),($G80+AY$3),((RiskSlide!$A$12)/260),$C80,$B80,RiskSlide!$H109)</f>
        <v>0</v>
      </c>
      <c r="AZ80">
        <f>PnL((($D$7*(1+AZ$2))+($D$5-$D$6)),$E80,(RiskSlide!$A$7),($G80+AZ$3),((RiskSlide!$A$12)/260),$C80,$B80,RiskSlide!$H109)</f>
        <v>-52.238666717221349</v>
      </c>
      <c r="BA80">
        <f>PnL((($D$7*(1+BA$2))+($D$5-$D$6)),$E80,(RiskSlide!$A$7),($G80+BA$3),((RiskSlide!$A$12)/260),$C80,$B80,RiskSlide!$H109)</f>
        <v>-104.37732707711689</v>
      </c>
      <c r="BB80">
        <f>PnL((($D$7*(1+BB$2))+($D$5-$D$6)),$E80,(RiskSlide!$A$7),($G80+BB$3),((RiskSlide!$A$12)/260),$C80,$B80,RiskSlide!$H109)</f>
        <v>-515.88250770147965</v>
      </c>
      <c r="BC80">
        <f>PnL((($D$7*(1+BC$2))+($D$5-$D$6)),$E80,(RiskSlide!$A$7),($G80+BC$3),((RiskSlide!$A$12)/260),$C80,$B80,RiskSlide!$H109)</f>
        <v>-984.6320072820248</v>
      </c>
      <c r="BD80">
        <f>PnL((($D$7*(1+BD$2))+($D$5-$D$6)),$E80,(RiskSlide!$A$7),($G80+BD$3),((RiskSlide!$A$12)/260),$C80,$B80,RiskSlide!$H109)</f>
        <v>868.15704464929127</v>
      </c>
      <c r="BE80">
        <f>PnL((($D$7*(1+BE$2))+($D$5-$D$6)),$E80,(RiskSlide!$A$7),($G80+BE$3),((RiskSlide!$A$12)/260),$C80,$B80,RiskSlide!$H109)</f>
        <v>344.37912405440443</v>
      </c>
      <c r="BF80">
        <f>PnL((($D$7*(1+BF$2))+($D$5-$D$6)),$E80,(RiskSlide!$A$7),($G80+BF$3),((RiskSlide!$A$12)/260),$C80,$B80,RiskSlide!$H109)</f>
        <v>-68.59223733964086</v>
      </c>
      <c r="BG80">
        <f>PnL((($D$7*(1+BG$2))+($D$5-$D$6)),$E80,(RiskSlide!$A$7),($G80+BG$3),((RiskSlide!$A$12)/260),$C80,$B80,RiskSlide!$H109)</f>
        <v>-119.58745948371643</v>
      </c>
      <c r="BH80">
        <f>PnL((($D$7*(1+BH$2))+($D$5-$D$6)),$E80,(RiskSlide!$A$7),($G80+BH$3),((RiskSlide!$A$12)/260),$C80,$B80,RiskSlide!$H109)</f>
        <v>-170.39443218116617</v>
      </c>
      <c r="BI80">
        <f>PnL((($D$7*(1+BI$2))+($D$5-$D$6)),$E80,(RiskSlide!$A$7),($G80+BI$3),((RiskSlide!$A$12)/260),$C80,$B80,RiskSlide!$H109)</f>
        <v>-220.99263638075968</v>
      </c>
      <c r="BJ80">
        <f>PnL((($D$7*(1+BJ$2))+($D$5-$D$6)),$E80,(RiskSlide!$A$7),($G80+BJ$3),((RiskSlide!$A$12)/260),$C80,$B80,RiskSlide!$H109)</f>
        <v>-271.35852079516098</v>
      </c>
      <c r="BK80">
        <f>PnL((($D$7*(1+BK$2))+($D$5-$D$6)),$E80,(RiskSlide!$A$7),($G80+BK$3),((RiskSlide!$A$12)/260),$C80,$B80,RiskSlide!$H109)</f>
        <v>-661.48168470214728</v>
      </c>
      <c r="BL80">
        <f>PnL((($D$7*(1+BL$2))+($D$5-$D$6)),$E80,(RiskSlide!$A$7),($G80+BL$3),((RiskSlide!$A$12)/260),$C80,$B80,RiskSlide!$H109)</f>
        <v>-1054.6888041208845</v>
      </c>
      <c r="BM80">
        <f>PnL((($D$7*(1+BM$2))+($D$5-$D$6)),$E80,(RiskSlide!$A$7),($G80+BM$3),((RiskSlide!$A$12)/260),$C80,$B80,RiskSlide!$H109)</f>
        <v>692.21932039937428</v>
      </c>
      <c r="BN80">
        <f>PnL((($D$7*(1+BN$2))+($D$5-$D$6)),$E80,(RiskSlide!$A$7),($G80+BN$3),((RiskSlide!$A$12)/260),$C80,$B80,RiskSlide!$H109)</f>
        <v>177.56056282390773</v>
      </c>
      <c r="BO80">
        <f>PnL((($D$7*(1+BO$2))+($D$5-$D$6)),$E80,(RiskSlide!$A$7),($G80+BO$3),((RiskSlide!$A$12)/260),$C80,$B80,RiskSlide!$H109)</f>
        <v>-223.31152828072049</v>
      </c>
      <c r="BP80">
        <f>PnL((($D$7*(1+BP$2))+($D$5-$D$6)),$E80,(RiskSlide!$A$7),($G80+BP$3),((RiskSlide!$A$12)/260),$C80,$B80,RiskSlide!$H109)</f>
        <v>-272.31149825798298</v>
      </c>
      <c r="BQ80">
        <f>PnL((($D$7*(1+BQ$2))+($D$5-$D$6)),$E80,(RiskSlide!$A$7),($G80+BQ$3),((RiskSlide!$A$12)/260),$C80,$B80,RiskSlide!$H109)</f>
        <v>-320.98094116205402</v>
      </c>
      <c r="BR80">
        <f>PnL((($D$7*(1+BR$2))+($D$5-$D$6)),$E80,(RiskSlide!$A$7),($G80+BR$3),((RiskSlide!$A$12)/260),$C80,$B80,RiskSlide!$H109)</f>
        <v>-369.28511606343477</v>
      </c>
      <c r="BS80">
        <f>PnL((($D$7*(1+BS$2))+($D$5-$D$6)),$E80,(RiskSlide!$A$7),($G80+BS$3),((RiskSlide!$A$12)/260),$C80,$B80,RiskSlide!$H109)</f>
        <v>-417.18438326751084</v>
      </c>
      <c r="BT80">
        <f>PnL((($D$7*(1+BT$2))+($D$5-$D$6)),$E80,(RiskSlide!$A$7),($G80+BT$3),((RiskSlide!$A$12)/260),$C80,$B80,RiskSlide!$H109)</f>
        <v>-778.53071665310836</v>
      </c>
      <c r="BU80">
        <f>PnL((($D$7*(1+BU$2))+($D$5-$D$6)),$E80,(RiskSlide!$A$7),($G80+BU$3),((RiskSlide!$A$12)/260),$C80,$B80,RiskSlide!$H109)</f>
        <v>-1088.4663254544996</v>
      </c>
      <c r="BV80">
        <f>PnL((($D$7*(1+BV$2))+($D$5-$D$6)),$E80,(RiskSlide!$A$7),($G80+BV$3),((RiskSlide!$A$12)/260),$C80,$B80,RiskSlide!$H109)</f>
        <v>-326.95275188227413</v>
      </c>
      <c r="BW80">
        <f>PnL((($D$7*(1+BW$2))+($D$5-$D$6)),$E80,(RiskSlide!$A$7),($G80+BW$3),((RiskSlide!$A$12)/260),$C80,$B80,RiskSlide!$H109)</f>
        <v>-692.11325023074153</v>
      </c>
      <c r="BX80">
        <f>PnL((($D$7*(1+BX$2))+($D$5-$D$6)),$E80,(RiskSlide!$A$7),($G80+BX$3),((RiskSlide!$A$12)/260),$C80,$B80,RiskSlide!$H109)</f>
        <v>-920.6510137908964</v>
      </c>
      <c r="BY80">
        <f>PnL((($D$7*(1+BY$2))+($D$5-$D$6)),$E80,(RiskSlide!$A$7),($G80+BY$3),((RiskSlide!$A$12)/260),$C80,$B80,RiskSlide!$H109)</f>
        <v>-943.7984918392317</v>
      </c>
      <c r="BZ80">
        <f>PnL((($D$7*(1+BZ$2))+($D$5-$D$6)),$E80,(RiskSlide!$A$7),($G80+BZ$3),((RiskSlide!$A$12)/260),$C80,$B80,RiskSlide!$H109)</f>
        <v>-965.54450752826995</v>
      </c>
      <c r="CA80">
        <f>PnL((($D$7*(1+CA$2))+($D$5-$D$6)),$E80,(RiskSlide!$A$7),($G80+CA$3),((RiskSlide!$A$12)/260),$C80,$B80,RiskSlide!$H109)</f>
        <v>-985.83070440597703</v>
      </c>
      <c r="CB80">
        <f>PnL((($D$7*(1+CB$2))+($D$5-$D$6)),$E80,(RiskSlide!$A$7),($G80+CB$3),((RiskSlide!$A$12)/260),$C80,$B80,RiskSlide!$H109)</f>
        <v>-1004.6018316229357</v>
      </c>
      <c r="CC80">
        <f>PnL((($D$7*(1+CC$2))+($D$5-$D$6)),$E80,(RiskSlide!$A$7),($G80+CC$3),((RiskSlide!$A$12)/260),$C80,$B80,RiskSlide!$H109)</f>
        <v>-1096.6390285825896</v>
      </c>
      <c r="CD80">
        <f>PnL((($D$7*(1+CD$2))+($D$5-$D$6)),$E80,(RiskSlide!$A$7),($G80+CD$3),((RiskSlide!$A$12)/260),$C80,$B80,RiskSlide!$H109)</f>
        <v>-1109.49537124124</v>
      </c>
      <c r="CE80">
        <f>PnL((($D$7*(1+CE$2))+($D$5-$D$6)),$E80,(RiskSlide!$A$7),($G80+CE$3),((RiskSlide!$A$12)/260),$C80,$B80,RiskSlide!$H109)</f>
        <v>-888.82620024411813</v>
      </c>
      <c r="CF80">
        <f>PnL((($D$7*(1+CF$2))+($D$5-$D$6)),$E80,(RiskSlide!$A$7),($G80+CF$3),((RiskSlide!$A$12)/260),$C80,$B80,RiskSlide!$H109)</f>
        <v>-1040.0446674619611</v>
      </c>
      <c r="CG80">
        <f>PnL((($D$7*(1+CG$2))+($D$5-$D$6)),$E80,(RiskSlide!$A$7),($G80+CG$3),((RiskSlide!$A$12)/260),$C80,$B80,RiskSlide!$H109)</f>
        <v>-1095.4633120411927</v>
      </c>
      <c r="CH80">
        <f>PnL((($D$7*(1+CH$2))+($D$5-$D$6)),$E80,(RiskSlide!$A$7),($G80+CH$3),((RiskSlide!$A$12)/260),$C80,$B80,RiskSlide!$H109)</f>
        <v>-1098.8625404000179</v>
      </c>
      <c r="CI80">
        <f>PnL((($D$7*(1+CI$2))+($D$5-$D$6)),$E80,(RiskSlide!$A$7),($G80+CI$3),((RiskSlide!$A$12)/260),$C80,$B80,RiskSlide!$H109)</f>
        <v>-1101.6377611210164</v>
      </c>
      <c r="CJ80">
        <f>PnL((($D$7*(1+CJ$2))+($D$5-$D$6)),$E80,(RiskSlide!$A$7),($G80+CJ$3),((RiskSlide!$A$12)/260),$C80,$B80,RiskSlide!$H109)</f>
        <v>-1103.8524585287757</v>
      </c>
      <c r="CK80">
        <f>PnL((($D$7*(1+CK$2))+($D$5-$D$6)),$E80,(RiskSlide!$A$7),($G80+CK$3),((RiskSlide!$A$12)/260),$C80,$B80,RiskSlide!$H109)</f>
        <v>-1105.573904352837</v>
      </c>
      <c r="CL80">
        <f>PnL((($D$7*(1+CL$2))+($D$5-$D$6)),$E80,(RiskSlide!$A$7),($G80+CL$3),((RiskSlide!$A$12)/260),$C80,$B80,RiskSlide!$H109)</f>
        <v>-1109.469616951827</v>
      </c>
      <c r="CM80">
        <f>PnL((($D$7*(1+CM$2))+($D$5-$D$6)),$E80,(RiskSlide!$A$7),($G80+CM$3),((RiskSlide!$A$12)/260),$C80,$B80,RiskSlide!$H109)</f>
        <v>-1109.4954216997678</v>
      </c>
    </row>
    <row r="81" spans="1:91" x14ac:dyDescent="0.25">
      <c r="A81" t="s">
        <v>76</v>
      </c>
      <c r="B81">
        <v>-8</v>
      </c>
      <c r="C81">
        <v>0</v>
      </c>
      <c r="E81">
        <v>1765</v>
      </c>
      <c r="F81">
        <v>3.5000000000000001E-3</v>
      </c>
      <c r="G81">
        <v>0.13573299999999999</v>
      </c>
      <c r="K81">
        <f>PnL((($D$7*(1+K$2))+($D$5-$D$6)),$E81,(RiskSlide!$A$7),($G81+K$3),((RiskSlide!$A$12)/260),$C81,$B81,RiskSlide!$H110)</f>
        <v>-59059.476128370356</v>
      </c>
      <c r="L81">
        <f>PnL((($D$7*(1+L$2))+($D$5-$D$6)),$E81,(RiskSlide!$A$7),($G81+L$3),((RiskSlide!$A$12)/260),$C81,$B81,RiskSlide!$H110)</f>
        <v>-57845.18885544021</v>
      </c>
      <c r="M81">
        <f>PnL((($D$7*(1+M$2))+($D$5-$D$6)),$E81,(RiskSlide!$A$7),($G81+M$3),((RiskSlide!$A$12)/260),$C81,$B81,RiskSlide!$H110)</f>
        <v>-57377.813676547885</v>
      </c>
      <c r="N81">
        <f>PnL((($D$7*(1+N$2))+($D$5-$D$6)),$E81,(RiskSlide!$A$7),($G81+N$3),((RiskSlide!$A$12)/260),$C81,$B81,RiskSlide!$H110)</f>
        <v>-57347.871888254027</v>
      </c>
      <c r="O81">
        <f>PnL((($D$7*(1+O$2))+($D$5-$D$6)),$E81,(RiskSlide!$A$7),($G81+O$3),((RiskSlide!$A$12)/260),$C81,$B81,RiskSlide!$H110)</f>
        <v>-57323.160550269859</v>
      </c>
      <c r="P81">
        <f>PnL((($D$7*(1+P$2))+($D$5-$D$6)),$E81,(RiskSlide!$A$7),($G81+P$3),((RiskSlide!$A$12)/260),$C81,$B81,RiskSlide!$H110)</f>
        <v>-57303.209237584633</v>
      </c>
      <c r="Q81">
        <f>PnL((($D$7*(1+Q$2))+($D$5-$D$6)),$E81,(RiskSlide!$A$7),($G81+Q$3),((RiskSlide!$A$12)/260),$C81,$B81,RiskSlide!$H110)</f>
        <v>-57287.505864497594</v>
      </c>
      <c r="R81">
        <f>PnL((($D$7*(1+R$2))+($D$5-$D$6)),$E81,(RiskSlide!$A$7),($G81+R$3),((RiskSlide!$A$12)/260),$C81,$B81,RiskSlide!$H110)</f>
        <v>-57250.552172013253</v>
      </c>
      <c r="S81">
        <f>PnL((($D$7*(1+S$2))+($D$5-$D$6)),$E81,(RiskSlide!$A$7),($G81+S$3),((RiskSlide!$A$12)/260),$C81,$B81,RiskSlide!$H110)</f>
        <v>-57250.275158659861</v>
      </c>
      <c r="T81">
        <f>PnL((($D$7*(1+T$2))+($D$5-$D$6)),$E81,(RiskSlide!$A$7),($G81+T$3),((RiskSlide!$A$12)/260),$C81,$B81,RiskSlide!$H110)</f>
        <v>-29541.478565619855</v>
      </c>
      <c r="U81">
        <f>PnL((($D$7*(1+U$2))+($D$5-$D$6)),$E81,(RiskSlide!$A$7),($G81+U$3),((RiskSlide!$A$12)/260),$C81,$B81,RiskSlide!$H110)</f>
        <v>-26291.594779095522</v>
      </c>
      <c r="V81">
        <f>PnL((($D$7*(1+V$2))+($D$5-$D$6)),$E81,(RiskSlide!$A$7),($G81+V$3),((RiskSlide!$A$12)/260),$C81,$B81,RiskSlide!$H110)</f>
        <v>-24063.939752287661</v>
      </c>
      <c r="W81">
        <f>PnL((($D$7*(1+W$2))+($D$5-$D$6)),$E81,(RiskSlide!$A$7),($G81+W$3),((RiskSlide!$A$12)/260),$C81,$B81,RiskSlide!$H110)</f>
        <v>-23819.899928418545</v>
      </c>
      <c r="X81">
        <f>PnL((($D$7*(1+X$2))+($D$5-$D$6)),$E81,(RiskSlide!$A$7),($G81+X$3),((RiskSlide!$A$12)/260),$C81,$B81,RiskSlide!$H110)</f>
        <v>-23585.343533468131</v>
      </c>
      <c r="Y81">
        <f>PnL((($D$7*(1+Y$2))+($D$5-$D$6)),$E81,(RiskSlide!$A$7),($G81+Y$3),((RiskSlide!$A$12)/260),$C81,$B81,RiskSlide!$H110)</f>
        <v>-23360.924947572948</v>
      </c>
      <c r="Z81">
        <f>PnL((($D$7*(1+Z$2))+($D$5-$D$6)),$E81,(RiskSlide!$A$7),($G81+Z$3),((RiskSlide!$A$12)/260),$C81,$B81,RiskSlide!$H110)</f>
        <v>-23147.334643610429</v>
      </c>
      <c r="AA81">
        <f>PnL((($D$7*(1+AA$2))+($D$5-$D$6)),$E81,(RiskSlide!$A$7),($G81+AA$3),((RiskSlide!$A$12)/260),$C81,$B81,RiskSlide!$H110)</f>
        <v>-21915.934632185053</v>
      </c>
      <c r="AB81">
        <f>PnL((($D$7*(1+AB$2))+($D$5-$D$6)),$E81,(RiskSlide!$A$7),($G81+AB$3),((RiskSlide!$A$12)/260),$C81,$B81,RiskSlide!$H110)</f>
        <v>-21613.10132610306</v>
      </c>
      <c r="AC81">
        <f>PnL((($D$7*(1+AC$2))+($D$5-$D$6)),$E81,(RiskSlide!$A$7),($G81+AC$3),((RiskSlide!$A$12)/260),$C81,$B81,RiskSlide!$H110)</f>
        <v>-11930.908177793526</v>
      </c>
      <c r="AD81">
        <f>PnL((($D$7*(1+AD$2))+($D$5-$D$6)),$E81,(RiskSlide!$A$7),($G81+AD$3),((RiskSlide!$A$12)/260),$C81,$B81,RiskSlide!$H110)</f>
        <v>-7671.3461644568724</v>
      </c>
      <c r="AE81">
        <f>PnL((($D$7*(1+AE$2))+($D$5-$D$6)),$E81,(RiskSlide!$A$7),($G81+AE$3),((RiskSlide!$A$12)/260),$C81,$B81,RiskSlide!$H110)</f>
        <v>-4266.703059246629</v>
      </c>
      <c r="AF81">
        <f>PnL((($D$7*(1+AF$2))+($D$5-$D$6)),$E81,(RiskSlide!$A$7),($G81+AF$3),((RiskSlide!$A$12)/260),$C81,$B81,RiskSlide!$H110)</f>
        <v>-3841.4723811447402</v>
      </c>
      <c r="AG81">
        <f>PnL((($D$7*(1+AG$2))+($D$5-$D$6)),$E81,(RiskSlide!$A$7),($G81+AG$3),((RiskSlide!$A$12)/260),$C81,$B81,RiskSlide!$H110)</f>
        <v>-3416.3516403589256</v>
      </c>
      <c r="AH81">
        <f>PnL((($D$7*(1+AH$2))+($D$5-$D$6)),$E81,(RiskSlide!$A$7),($G81+AH$3),((RiskSlide!$A$12)/260),$C81,$B81,RiskSlide!$H110)</f>
        <v>-2991.3544543192529</v>
      </c>
      <c r="AI81">
        <f>PnL((($D$7*(1+AI$2))+($D$5-$D$6)),$E81,(RiskSlide!$A$7),($G81+AI$3),((RiskSlide!$A$12)/260),$C81,$B81,RiskSlide!$H110)</f>
        <v>-2566.4965594280147</v>
      </c>
      <c r="AJ81">
        <f>PnL((($D$7*(1+AJ$2))+($D$5-$D$6)),$E81,(RiskSlide!$A$7),($G81+AJ$3),((RiskSlide!$A$12)/260),$C81,$B81,RiskSlide!$H110)</f>
        <v>824.27865688523525</v>
      </c>
      <c r="AK81">
        <f>PnL((($D$7*(1+AK$2))+($D$5-$D$6)),$E81,(RiskSlide!$A$7),($G81+AK$3),((RiskSlide!$A$12)/260),$C81,$B81,RiskSlide!$H110)</f>
        <v>4988.3603739602222</v>
      </c>
      <c r="AL81">
        <f>PnL((($D$7*(1+AL$2))+($D$5-$D$6)),$E81,(RiskSlide!$A$7),($G81+AL$3),((RiskSlide!$A$12)/260),$C81,$B81,RiskSlide!$H110)</f>
        <v>-10175.573533349461</v>
      </c>
      <c r="AM81">
        <f>PnL((($D$7*(1+AM$2))+($D$5-$D$6)),$E81,(RiskSlide!$A$7),($G81+AM$3),((RiskSlide!$A$12)/260),$C81,$B81,RiskSlide!$H110)</f>
        <v>-5898.653546398009</v>
      </c>
      <c r="AN81">
        <f>PnL((($D$7*(1+AN$2))+($D$5-$D$6)),$E81,(RiskSlide!$A$7),($G81+AN$3),((RiskSlide!$A$12)/260),$C81,$B81,RiskSlide!$H110)</f>
        <v>-2476.8858675583488</v>
      </c>
      <c r="AO81">
        <f>PnL((($D$7*(1+AO$2))+($D$5-$D$6)),$E81,(RiskSlide!$A$7),($G81+AO$3),((RiskSlide!$A$12)/260),$C81,$B81,RiskSlide!$H110)</f>
        <v>-2049.1760277566755</v>
      </c>
      <c r="AP81">
        <f>PnL((($D$7*(1+AP$2))+($D$5-$D$6)),$E81,(RiskSlide!$A$7),($G81+AP$3),((RiskSlide!$A$12)/260),$C81,$B81,RiskSlide!$H110)</f>
        <v>-1621.4732532244398</v>
      </c>
      <c r="AQ81">
        <f>PnL((($D$7*(1+AQ$2))+($D$5-$D$6)),$E81,(RiskSlide!$A$7),($G81+AQ$3),((RiskSlide!$A$12)/260),$C81,$B81,RiskSlide!$H110)</f>
        <v>-1193.7793980852803</v>
      </c>
      <c r="AR81">
        <f>PnL((($D$7*(1+AR$2))+($D$5-$D$6)),$E81,(RiskSlide!$A$7),($G81+AR$3),((RiskSlide!$A$12)/260),$C81,$B81,RiskSlide!$H110)</f>
        <v>-766.09657203898678</v>
      </c>
      <c r="AS81">
        <f>PnL((($D$7*(1+AS$2))+($D$5-$D$6)),$E81,(RiskSlide!$A$7),($G81+AS$3),((RiskSlide!$A$12)/260),$C81,$B81,RiskSlide!$H110)</f>
        <v>2654.5725135242265</v>
      </c>
      <c r="AT81">
        <f>PnL((($D$7*(1+AT$2))+($D$5-$D$6)),$E81,(RiskSlide!$A$7),($G81+AT$3),((RiskSlide!$A$12)/260),$C81,$B81,RiskSlide!$H110)</f>
        <v>6921.678078277273</v>
      </c>
      <c r="AU81">
        <f>PnL((($D$7*(1+AU$2))+($D$5-$D$6)),$E81,(RiskSlide!$A$7),($G81+AU$3),((RiskSlide!$A$12)/260),$C81,$B81,RiskSlide!$H110)</f>
        <v>-8520.1568529590531</v>
      </c>
      <c r="AV81">
        <f>PnL((($D$7*(1+AV$2))+($D$5-$D$6)),$E81,(RiskSlide!$A$7),($G81+AV$3),((RiskSlide!$A$12)/260),$C81,$B81,RiskSlide!$H110)</f>
        <v>-4252.7635068920972</v>
      </c>
      <c r="AW81">
        <f>PnL((($D$7*(1+AW$2))+($D$5-$D$6)),$E81,(RiskSlide!$A$7),($G81+AW$3),((RiskSlide!$A$12)/260),$C81,$B81,RiskSlide!$H110)</f>
        <v>-848.60678106610976</v>
      </c>
      <c r="AX81">
        <f>PnL((($D$7*(1+AX$2))+($D$5-$D$6)),$E81,(RiskSlide!$A$7),($G81+AX$3),((RiskSlide!$A$12)/260),$C81,$B81,RiskSlide!$H110)</f>
        <v>-424.14155382862191</v>
      </c>
      <c r="AY81">
        <f>PnL((($D$7*(1+AY$2))+($D$5-$D$6)),$E81,(RiskSlide!$A$7),($G81+AY$3),((RiskSlide!$A$12)/260),$C81,$B81,RiskSlide!$H110)</f>
        <v>0</v>
      </c>
      <c r="AZ81">
        <f>PnL((($D$7*(1+AZ$2))+($D$5-$D$6)),$E81,(RiskSlide!$A$7),($G81+AZ$3),((RiskSlide!$A$12)/260),$C81,$B81,RiskSlide!$H110)</f>
        <v>423.78000013513883</v>
      </c>
      <c r="BA81">
        <f>PnL((($D$7*(1+BA$2))+($D$5-$D$6)),$E81,(RiskSlide!$A$7),($G81+BA$3),((RiskSlide!$A$12)/260),$C81,$B81,RiskSlide!$H110)</f>
        <v>847.15464383989456</v>
      </c>
      <c r="BB81">
        <f>PnL((($D$7*(1+BB$2))+($D$5-$D$6)),$E81,(RiskSlide!$A$7),($G81+BB$3),((RiskSlide!$A$12)/260),$C81,$B81,RiskSlide!$H110)</f>
        <v>4211.0085412336048</v>
      </c>
      <c r="BC81">
        <f>PnL((($D$7*(1+BC$2))+($D$5-$D$6)),$E81,(RiskSlide!$A$7),($G81+BC$3),((RiskSlide!$A$12)/260),$C81,$B81,RiskSlide!$H110)</f>
        <v>8211.048544142046</v>
      </c>
      <c r="BD81">
        <f>PnL((($D$7*(1+BD$2))+($D$5-$D$6)),$E81,(RiskSlide!$A$7),($G81+BD$3),((RiskSlide!$A$12)/260),$C81,$B81,RiskSlide!$H110)</f>
        <v>-6963.5385129105089</v>
      </c>
      <c r="BE81">
        <f>PnL((($D$7*(1+BE$2))+($D$5-$D$6)),$E81,(RiskSlide!$A$7),($G81+BE$3),((RiskSlide!$A$12)/260),$C81,$B81,RiskSlide!$H110)</f>
        <v>-2731.9706852981653</v>
      </c>
      <c r="BF81">
        <f>PnL((($D$7*(1+BF$2))+($D$5-$D$6)),$E81,(RiskSlide!$A$7),($G81+BF$3),((RiskSlide!$A$12)/260),$C81,$B81,RiskSlide!$H110)</f>
        <v>620.9007591315185</v>
      </c>
      <c r="BG81">
        <f>PnL((($D$7*(1+BG$2))+($D$5-$D$6)),$E81,(RiskSlide!$A$7),($G81+BG$3),((RiskSlide!$A$12)/260),$C81,$B81,RiskSlide!$H110)</f>
        <v>1036.6109939997841</v>
      </c>
      <c r="BH81">
        <f>PnL((($D$7*(1+BH$2))+($D$5-$D$6)),$E81,(RiskSlide!$A$7),($G81+BH$3),((RiskSlide!$A$12)/260),$C81,$B81,RiskSlide!$H110)</f>
        <v>1451.2904433789572</v>
      </c>
      <c r="BI81">
        <f>PnL((($D$7*(1+BI$2))+($D$5-$D$6)),$E81,(RiskSlide!$A$7),($G81+BI$3),((RiskSlide!$A$12)/260),$C81,$B81,RiskSlide!$H110)</f>
        <v>1864.8228446214034</v>
      </c>
      <c r="BJ81">
        <f>PnL((($D$7*(1+BJ$2))+($D$5-$D$6)),$E81,(RiskSlide!$A$7),($G81+BJ$3),((RiskSlide!$A$12)/260),$C81,$B81,RiskSlide!$H110)</f>
        <v>2277.0741144709518</v>
      </c>
      <c r="BK81">
        <f>PnL((($D$7*(1+BK$2))+($D$5-$D$6)),$E81,(RiskSlide!$A$7),($G81+BK$3),((RiskSlide!$A$12)/260),$C81,$B81,RiskSlide!$H110)</f>
        <v>5503.1500382273862</v>
      </c>
      <c r="BL81">
        <f>PnL((($D$7*(1+BL$2))+($D$5-$D$6)),$E81,(RiskSlide!$A$7),($G81+BL$3),((RiskSlide!$A$12)/260),$C81,$B81,RiskSlide!$H110)</f>
        <v>8953.9272576142139</v>
      </c>
      <c r="BM81">
        <f>PnL((($D$7*(1+BM$2))+($D$5-$D$6)),$E81,(RiskSlide!$A$7),($G81+BM$3),((RiskSlide!$A$12)/260),$C81,$B81,RiskSlide!$H110)</f>
        <v>-5504.1401740500532</v>
      </c>
      <c r="BN81">
        <f>PnL((($D$7*(1+BN$2))+($D$5-$D$6)),$E81,(RiskSlide!$A$7),($G81+BN$3),((RiskSlide!$A$12)/260),$C81,$B81,RiskSlide!$H110)</f>
        <v>-1333.6326749911677</v>
      </c>
      <c r="BO81">
        <f>PnL((($D$7*(1+BO$2))+($D$5-$D$6)),$E81,(RiskSlide!$A$7),($G81+BO$3),((RiskSlide!$A$12)/260),$C81,$B81,RiskSlide!$H110)</f>
        <v>1936.3248414694681</v>
      </c>
      <c r="BP81">
        <f>PnL((($D$7*(1+BP$2))+($D$5-$D$6)),$E81,(RiskSlide!$A$7),($G81+BP$3),((RiskSlide!$A$12)/260),$C81,$B81,RiskSlide!$H110)</f>
        <v>2338.1906274487392</v>
      </c>
      <c r="BQ81">
        <f>PnL((($D$7*(1+BQ$2))+($D$5-$D$6)),$E81,(RiskSlide!$A$7),($G81+BQ$3),((RiskSlide!$A$12)/260),$C81,$B81,RiskSlide!$H110)</f>
        <v>2737.9875897748661</v>
      </c>
      <c r="BR81">
        <f>PnL((($D$7*(1+BR$2))+($D$5-$D$6)),$E81,(RiskSlide!$A$7),($G81+BR$3),((RiskSlide!$A$12)/260),$C81,$B81,RiskSlide!$H110)</f>
        <v>3135.4899540147926</v>
      </c>
      <c r="BS81">
        <f>PnL((($D$7*(1+BS$2))+($D$5-$D$6)),$E81,(RiskSlide!$A$7),($G81+BS$3),((RiskSlide!$A$12)/260),$C81,$B81,RiskSlide!$H110)</f>
        <v>3530.4386464069921</v>
      </c>
      <c r="BT81">
        <f>PnL((($D$7*(1+BT$2))+($D$5-$D$6)),$E81,(RiskSlide!$A$7),($G81+BT$3),((RiskSlide!$A$12)/260),$C81,$B81,RiskSlide!$H110)</f>
        <v>6549.3967213709539</v>
      </c>
      <c r="BU81">
        <f>PnL((($D$7*(1+BU$2))+($D$5-$D$6)),$E81,(RiskSlide!$A$7),($G81+BU$3),((RiskSlide!$A$12)/260),$C81,$B81,RiskSlide!$H110)</f>
        <v>9319.0085423814598</v>
      </c>
      <c r="BV81">
        <f>PnL((($D$7*(1+BV$2))+($D$5-$D$6)),$E81,(RiskSlide!$A$7),($G81+BV$3),((RiskSlide!$A$12)/260),$C81,$B81,RiskSlide!$H110)</f>
        <v>2984.7707029391358</v>
      </c>
      <c r="BW81">
        <f>PnL((($D$7*(1+BW$2))+($D$5-$D$6)),$E81,(RiskSlide!$A$7),($G81+BW$3),((RiskSlide!$A$12)/260),$C81,$B81,RiskSlide!$H110)</f>
        <v>5999.9539393931855</v>
      </c>
      <c r="BX81">
        <f>PnL((($D$7*(1+BX$2))+($D$5-$D$6)),$E81,(RiskSlide!$A$7),($G81+BX$3),((RiskSlide!$A$12)/260),$C81,$B81,RiskSlide!$H110)</f>
        <v>7914.5322105376863</v>
      </c>
      <c r="BY81">
        <f>PnL((($D$7*(1+BY$2))+($D$5-$D$6)),$E81,(RiskSlide!$A$7),($G81+BY$3),((RiskSlide!$A$12)/260),$C81,$B81,RiskSlide!$H110)</f>
        <v>8110.665923803549</v>
      </c>
      <c r="BZ81">
        <f>PnL((($D$7*(1+BZ$2))+($D$5-$D$6)),$E81,(RiskSlide!$A$7),($G81+BZ$3),((RiskSlide!$A$12)/260),$C81,$B81,RiskSlide!$H110)</f>
        <v>8295.4842332502376</v>
      </c>
      <c r="CA81">
        <f>PnL((($D$7*(1+CA$2))+($D$5-$D$6)),$E81,(RiskSlide!$A$7),($G81+CA$3),((RiskSlide!$A$12)/260),$C81,$B81,RiskSlide!$H110)</f>
        <v>8468.4571008491039</v>
      </c>
      <c r="CB81">
        <f>PnL((($D$7*(1+CB$2))+($D$5-$D$6)),$E81,(RiskSlide!$A$7),($G81+CB$3),((RiskSlide!$A$12)/260),$C81,$B81,RiskSlide!$H110)</f>
        <v>8629.0702857575179</v>
      </c>
      <c r="CC81">
        <f>PnL((($D$7*(1+CC$2))+($D$5-$D$6)),$E81,(RiskSlide!$A$7),($G81+CC$3),((RiskSlide!$A$12)/260),$C81,$B81,RiskSlide!$H110)</f>
        <v>9429.2098290905633</v>
      </c>
      <c r="CD81">
        <f>PnL((($D$7*(1+CD$2))+($D$5-$D$6)),$E81,(RiskSlide!$A$7),($G81+CD$3),((RiskSlide!$A$12)/260),$C81,$B81,RiskSlide!$H110)</f>
        <v>9544.0691197323158</v>
      </c>
      <c r="CE81">
        <f>PnL((($D$7*(1+CE$2))+($D$5-$D$6)),$E81,(RiskSlide!$A$7),($G81+CE$3),((RiskSlide!$A$12)/260),$C81,$B81,RiskSlide!$H110)</f>
        <v>7693.5058862929054</v>
      </c>
      <c r="CF81">
        <f>PnL((($D$7*(1+CF$2))+($D$5-$D$6)),$E81,(RiskSlide!$A$7),($G81+CF$3),((RiskSlide!$A$12)/260),$C81,$B81,RiskSlide!$H110)</f>
        <v>8956.1171240211697</v>
      </c>
      <c r="CG81">
        <f>PnL((($D$7*(1+CG$2))+($D$5-$D$6)),$E81,(RiskSlide!$A$7),($G81+CG$3),((RiskSlide!$A$12)/260),$C81,$B81,RiskSlide!$H110)</f>
        <v>9424.6389496301472</v>
      </c>
      <c r="CH81">
        <f>PnL((($D$7*(1+CH$2))+($D$5-$D$6)),$E81,(RiskSlide!$A$7),($G81+CH$3),((RiskSlide!$A$12)/260),$C81,$B81,RiskSlide!$H110)</f>
        <v>9453.5816688037812</v>
      </c>
      <c r="CI81">
        <f>PnL((($D$7*(1+CI$2))+($D$5-$D$6)),$E81,(RiskSlide!$A$7),($G81+CI$3),((RiskSlide!$A$12)/260),$C81,$B81,RiskSlide!$H110)</f>
        <v>9477.2332801050852</v>
      </c>
      <c r="CJ81">
        <f>PnL((($D$7*(1+CJ$2))+($D$5-$D$6)),$E81,(RiskSlide!$A$7),($G81+CJ$3),((RiskSlide!$A$12)/260),$C81,$B81,RiskSlide!$H110)</f>
        <v>9496.1196458056893</v>
      </c>
      <c r="CK81">
        <f>PnL((($D$7*(1+CK$2))+($D$5-$D$6)),$E81,(RiskSlide!$A$7),($G81+CK$3),((RiskSlide!$A$12)/260),$C81,$B81,RiskSlide!$H110)</f>
        <v>9510.8026414722499</v>
      </c>
      <c r="CL81">
        <f>PnL((($D$7*(1+CL$2))+($D$5-$D$6)),$E81,(RiskSlide!$A$7),($G81+CL$3),((RiskSlide!$A$12)/260),$C81,$B81,RiskSlide!$H110)</f>
        <v>9543.8679321992986</v>
      </c>
      <c r="CM81">
        <f>PnL((($D$7*(1+CM$2))+($D$5-$D$6)),$E81,(RiskSlide!$A$7),($G81+CM$3),((RiskSlide!$A$12)/260),$C81,$B81,RiskSlide!$H110)</f>
        <v>9544.0693753605046</v>
      </c>
    </row>
    <row r="82" spans="1:91" x14ac:dyDescent="0.25">
      <c r="A82" t="s">
        <v>77</v>
      </c>
      <c r="B82">
        <v>-2</v>
      </c>
      <c r="C82">
        <v>0</v>
      </c>
      <c r="E82">
        <v>1770</v>
      </c>
      <c r="F82">
        <v>3.5000000000000001E-3</v>
      </c>
      <c r="G82">
        <v>0.133381</v>
      </c>
      <c r="K82">
        <f>PnL((($D$7*(1+K$2))+($D$5-$D$6)),$E82,(RiskSlide!$A$7),($G82+K$3),((RiskSlide!$A$12)/260),$C82,$B82,RiskSlide!$H111)</f>
        <v>-15030.424085749974</v>
      </c>
      <c r="L82">
        <f>PnL((($D$7*(1+L$2))+($D$5-$D$6)),$E82,(RiskSlide!$A$7),($G82+L$3),((RiskSlide!$A$12)/260),$C82,$B82,RiskSlide!$H111)</f>
        <v>-14754.698658741336</v>
      </c>
      <c r="M82">
        <f>PnL((($D$7*(1+M$2))+($D$5-$D$6)),$E82,(RiskSlide!$A$7),($G82+M$3),((RiskSlide!$A$12)/260),$C82,$B82,RiskSlide!$H111)</f>
        <v>-14655.755740903669</v>
      </c>
      <c r="N82">
        <f>PnL((($D$7*(1+N$2))+($D$5-$D$6)),$E82,(RiskSlide!$A$7),($G82+N$3),((RiskSlide!$A$12)/260),$C82,$B82,RiskSlide!$H111)</f>
        <v>-14649.878810522638</v>
      </c>
      <c r="O82">
        <f>PnL((($D$7*(1+O$2))+($D$5-$D$6)),$E82,(RiskSlide!$A$7),($G82+O$3),((RiskSlide!$A$12)/260),$C82,$B82,RiskSlide!$H111)</f>
        <v>-14645.132034259223</v>
      </c>
      <c r="P82">
        <f>PnL((($D$7*(1+P$2))+($D$5-$D$6)),$E82,(RiskSlide!$A$7),($G82+P$3),((RiskSlide!$A$12)/260),$C82,$B82,RiskSlide!$H111)</f>
        <v>-14641.392301251268</v>
      </c>
      <c r="Q82">
        <f>PnL((($D$7*(1+Q$2))+($D$5-$D$6)),$E82,(RiskSlide!$A$7),($G82+Q$3),((RiskSlide!$A$12)/260),$C82,$B82,RiskSlide!$H111)</f>
        <v>-14638.52987513601</v>
      </c>
      <c r="R82">
        <f>PnL((($D$7*(1+R$2))+($D$5-$D$6)),$E82,(RiskSlide!$A$7),($G82+R$3),((RiskSlide!$A$12)/260),$C82,$B82,RiskSlide!$H111)</f>
        <v>-14632.457073796286</v>
      </c>
      <c r="S82">
        <f>PnL((($D$7*(1+S$2))+($D$5-$D$6)),$E82,(RiskSlide!$A$7),($G82+S$3),((RiskSlide!$A$12)/260),$C82,$B82,RiskSlide!$H111)</f>
        <v>-14632.431182799974</v>
      </c>
      <c r="T82">
        <f>PnL((($D$7*(1+T$2))+($D$5-$D$6)),$E82,(RiskSlide!$A$7),($G82+T$3),((RiskSlide!$A$12)/260),$C82,$B82,RiskSlide!$H111)</f>
        <v>-7542.8477416499391</v>
      </c>
      <c r="U82">
        <f>PnL((($D$7*(1+U$2))+($D$5-$D$6)),$E82,(RiskSlide!$A$7),($G82+U$3),((RiskSlide!$A$12)/260),$C82,$B82,RiskSlide!$H111)</f>
        <v>-6760.285653208507</v>
      </c>
      <c r="V82">
        <f>PnL((($D$7*(1+V$2))+($D$5-$D$6)),$E82,(RiskSlide!$A$7),($G82+V$3),((RiskSlide!$A$12)/260),$C82,$B82,RiskSlide!$H111)</f>
        <v>-6238.0150360194193</v>
      </c>
      <c r="W82">
        <f>PnL((($D$7*(1+W$2))+($D$5-$D$6)),$E82,(RiskSlide!$A$7),($G82+W$3),((RiskSlide!$A$12)/260),$C82,$B82,RiskSlide!$H111)</f>
        <v>-6182.1784931039701</v>
      </c>
      <c r="X82">
        <f>PnL((($D$7*(1+X$2))+($D$5-$D$6)),$E82,(RiskSlide!$A$7),($G82+X$3),((RiskSlide!$A$12)/260),$C82,$B82,RiskSlide!$H111)</f>
        <v>-6128.9098501194758</v>
      </c>
      <c r="Y82">
        <f>PnL((($D$7*(1+Y$2))+($D$5-$D$6)),$E82,(RiskSlide!$A$7),($G82+Y$3),((RiskSlide!$A$12)/260),$C82,$B82,RiskSlide!$H111)</f>
        <v>-6078.3697354976312</v>
      </c>
      <c r="Z82">
        <f>PnL((($D$7*(1+Z$2))+($D$5-$D$6)),$E82,(RiskSlide!$A$7),($G82+Z$3),((RiskSlide!$A$12)/260),$C82,$B82,RiskSlide!$H111)</f>
        <v>-6030.7238244978862</v>
      </c>
      <c r="AA82">
        <f>PnL((($D$7*(1+AA$2))+($D$5-$D$6)),$E82,(RiskSlide!$A$7),($G82+AA$3),((RiskSlide!$A$12)/260),$C82,$B82,RiskSlide!$H111)</f>
        <v>-5772.271216599097</v>
      </c>
      <c r="AB82">
        <f>PnL((($D$7*(1+AB$2))+($D$5-$D$6)),$E82,(RiskSlide!$A$7),($G82+AB$3),((RiskSlide!$A$12)/260),$C82,$B82,RiskSlide!$H111)</f>
        <v>-5723.1315662178304</v>
      </c>
      <c r="AC82">
        <f>PnL((($D$7*(1+AC$2))+($D$5-$D$6)),$E82,(RiskSlide!$A$7),($G82+AC$3),((RiskSlide!$A$12)/260),$C82,$B82,RiskSlide!$H111)</f>
        <v>-3024.1401457087136</v>
      </c>
      <c r="AD82">
        <f>PnL((($D$7*(1+AD$2))+($D$5-$D$6)),$E82,(RiskSlide!$A$7),($G82+AD$3),((RiskSlide!$A$12)/260),$C82,$B82,RiskSlide!$H111)</f>
        <v>-1961.7152923585877</v>
      </c>
      <c r="AE82">
        <f>PnL((($D$7*(1+AE$2))+($D$5-$D$6)),$E82,(RiskSlide!$A$7),($G82+AE$3),((RiskSlide!$A$12)/260),$C82,$B82,RiskSlide!$H111)</f>
        <v>-1114.5353691384003</v>
      </c>
      <c r="AF82">
        <f>PnL((($D$7*(1+AF$2))+($D$5-$D$6)),$E82,(RiskSlide!$A$7),($G82+AF$3),((RiskSlide!$A$12)/260),$C82,$B82,RiskSlide!$H111)</f>
        <v>-1008.9368140935107</v>
      </c>
      <c r="AG82">
        <f>PnL((($D$7*(1+AG$2))+($D$5-$D$6)),$E82,(RiskSlide!$A$7),($G82+AG$3),((RiskSlide!$A$12)/260),$C82,$B82,RiskSlide!$H111)</f>
        <v>-903.43030936446667</v>
      </c>
      <c r="AH82">
        <f>PnL((($D$7*(1+AH$2))+($D$5-$D$6)),$E82,(RiskSlide!$A$7),($G82+AH$3),((RiskSlide!$A$12)/260),$C82,$B82,RiskSlide!$H111)</f>
        <v>-798.02677255245271</v>
      </c>
      <c r="AI82">
        <f>PnL((($D$7*(1+AI$2))+($D$5-$D$6)),$E82,(RiskSlide!$A$7),($G82+AI$3),((RiskSlide!$A$12)/260),$C82,$B82,RiskSlide!$H111)</f>
        <v>-692.73885995200999</v>
      </c>
      <c r="AJ82">
        <f>PnL((($D$7*(1+AJ$2))+($D$5-$D$6)),$E82,(RiskSlide!$A$7),($G82+AJ$3),((RiskSlide!$A$12)/260),$C82,$B82,RiskSlide!$H111)</f>
        <v>142.90621274622026</v>
      </c>
      <c r="AK82">
        <f>PnL((($D$7*(1+AK$2))+($D$5-$D$6)),$E82,(RiskSlide!$A$7),($G82+AK$3),((RiskSlide!$A$12)/260),$C82,$B82,RiskSlide!$H111)</f>
        <v>1126.1674559209041</v>
      </c>
      <c r="AL82">
        <f>PnL((($D$7*(1+AL$2))+($D$5-$D$6)),$E82,(RiskSlide!$A$7),($G82+AL$3),((RiskSlide!$A$12)/260),$C82,$B82,RiskSlide!$H111)</f>
        <v>-2570.9419511825899</v>
      </c>
      <c r="AM82">
        <f>PnL((($D$7*(1+AM$2))+($D$5-$D$6)),$E82,(RiskSlide!$A$7),($G82+AM$3),((RiskSlide!$A$12)/260),$C82,$B82,RiskSlide!$H111)</f>
        <v>-1500.2811398513813</v>
      </c>
      <c r="AN82">
        <f>PnL((($D$7*(1+AN$2))+($D$5-$D$6)),$E82,(RiskSlide!$A$7),($G82+AN$3),((RiskSlide!$A$12)/260),$C82,$B82,RiskSlide!$H111)</f>
        <v>-643.74598534888037</v>
      </c>
      <c r="AO82">
        <f>PnL((($D$7*(1+AO$2))+($D$5-$D$6)),$E82,(RiskSlide!$A$7),($G82+AO$3),((RiskSlide!$A$12)/260),$C82,$B82,RiskSlide!$H111)</f>
        <v>-536.68729136606999</v>
      </c>
      <c r="AP82">
        <f>PnL((($D$7*(1+AP$2))+($D$5-$D$6)),$E82,(RiskSlide!$A$7),($G82+AP$3),((RiskSlide!$A$12)/260),$C82,$B82,RiskSlide!$H111)</f>
        <v>-429.63202649294772</v>
      </c>
      <c r="AQ82">
        <f>PnL((($D$7*(1+AQ$2))+($D$5-$D$6)),$E82,(RiskSlide!$A$7),($G82+AQ$3),((RiskSlide!$A$12)/260),$C82,$B82,RiskSlide!$H111)</f>
        <v>-322.58085272910648</v>
      </c>
      <c r="AR82">
        <f>PnL((($D$7*(1+AR$2))+($D$5-$D$6)),$E82,(RiskSlide!$A$7),($G82+AR$3),((RiskSlide!$A$12)/260),$C82,$B82,RiskSlide!$H111)</f>
        <v>-215.53452930966159</v>
      </c>
      <c r="AS82">
        <f>PnL((($D$7*(1+AS$2))+($D$5-$D$6)),$E82,(RiskSlide!$A$7),($G82+AS$3),((RiskSlide!$A$12)/260),$C82,$B82,RiskSlide!$H111)</f>
        <v>640.51518956106293</v>
      </c>
      <c r="AT82">
        <f>PnL((($D$7*(1+AT$2))+($D$5-$D$6)),$E82,(RiskSlide!$A$7),($G82+AT$3),((RiskSlide!$A$12)/260),$C82,$B82,RiskSlide!$H111)</f>
        <v>1707.1129494994921</v>
      </c>
      <c r="AU82">
        <f>PnL((($D$7*(1+AU$2))+($D$5-$D$6)),$E82,(RiskSlide!$A$7),($G82+AU$3),((RiskSlide!$A$12)/260),$C82,$B82,RiskSlide!$H111)</f>
        <v>-2143.0089489052193</v>
      </c>
      <c r="AV82">
        <f>PnL((($D$7*(1+AV$2))+($D$5-$D$6)),$E82,(RiskSlide!$A$7),($G82+AV$3),((RiskSlide!$A$12)/260),$C82,$B82,RiskSlide!$H111)</f>
        <v>-1070.9955474005483</v>
      </c>
      <c r="AW82">
        <f>PnL((($D$7*(1+AW$2))+($D$5-$D$6)),$E82,(RiskSlide!$A$7),($G82+AW$3),((RiskSlide!$A$12)/260),$C82,$B82,RiskSlide!$H111)</f>
        <v>-214.0523044100064</v>
      </c>
      <c r="AX82">
        <f>PnL((($D$7*(1+AX$2))+($D$5-$D$6)),$E82,(RiskSlide!$A$7),($G82+AX$3),((RiskSlide!$A$12)/260),$C82,$B82,RiskSlide!$H111)</f>
        <v>-107.01359839681572</v>
      </c>
      <c r="AY82">
        <f>PnL((($D$7*(1+AY$2))+($D$5-$D$6)),$E82,(RiskSlide!$A$7),($G82+AY$3),((RiskSlide!$A$12)/260),$C82,$B82,RiskSlide!$H111)</f>
        <v>0</v>
      </c>
      <c r="AZ82">
        <f>PnL((($D$7*(1+AZ$2))+($D$5-$D$6)),$E82,(RiskSlide!$A$7),($G82+AZ$3),((RiskSlide!$A$12)/260),$C82,$B82,RiskSlide!$H111)</f>
        <v>106.98530287338599</v>
      </c>
      <c r="BA82">
        <f>PnL((($D$7*(1+BA$2))+($D$5-$D$6)),$E82,(RiskSlide!$A$7),($G82+BA$3),((RiskSlide!$A$12)/260),$C82,$B82,RiskSlide!$H111)</f>
        <v>213.93861730231265</v>
      </c>
      <c r="BB82">
        <f>PnL((($D$7*(1+BB$2))+($D$5-$D$6)),$E82,(RiskSlide!$A$7),($G82+BB$3),((RiskSlide!$A$12)/260),$C82,$B82,RiskSlide!$H111)</f>
        <v>1067.6846104063088</v>
      </c>
      <c r="BC82">
        <f>PnL((($D$7*(1+BC$2))+($D$5-$D$6)),$E82,(RiskSlide!$A$7),($G82+BC$3),((RiskSlide!$A$12)/260),$C82,$B82,RiskSlide!$H111)</f>
        <v>2116.6562794346987</v>
      </c>
      <c r="BD82">
        <f>PnL((($D$7*(1+BD$2))+($D$5-$D$6)),$E82,(RiskSlide!$A$7),($G82+BD$3),((RiskSlide!$A$12)/260),$C82,$B82,RiskSlide!$H111)</f>
        <v>-1740.1268913240756</v>
      </c>
      <c r="BE82">
        <f>PnL((($D$7*(1+BE$2))+($D$5-$D$6)),$E82,(RiskSlide!$A$7),($G82+BE$3),((RiskSlide!$A$12)/260),$C82,$B82,RiskSlide!$H111)</f>
        <v>-673.56675369768482</v>
      </c>
      <c r="BF82">
        <f>PnL((($D$7*(1+BF$2))+($D$5-$D$6)),$E82,(RiskSlide!$A$7),($G82+BF$3),((RiskSlide!$A$12)/260),$C82,$B82,RiskSlide!$H111)</f>
        <v>174.9592116206486</v>
      </c>
      <c r="BG82">
        <f>PnL((($D$7*(1+BG$2))+($D$5-$D$6)),$E82,(RiskSlide!$A$7),($G82+BG$3),((RiskSlide!$A$12)/260),$C82,$B82,RiskSlide!$H111)</f>
        <v>280.52064155768903</v>
      </c>
      <c r="BH82">
        <f>PnL((($D$7*(1+BH$2))+($D$5-$D$6)),$E82,(RiskSlide!$A$7),($G82+BH$3),((RiskSlide!$A$12)/260),$C82,$B82,RiskSlide!$H111)</f>
        <v>385.92762823790281</v>
      </c>
      <c r="BI82">
        <f>PnL((($D$7*(1+BI$2))+($D$5-$D$6)),$E82,(RiskSlide!$A$7),($G82+BI$3),((RiskSlide!$A$12)/260),$C82,$B82,RiskSlide!$H111)</f>
        <v>491.16213697768671</v>
      </c>
      <c r="BJ82">
        <f>PnL((($D$7*(1+BJ$2))+($D$5-$D$6)),$E82,(RiskSlide!$A$7),($G82+BJ$3),((RiskSlide!$A$12)/260),$C82,$B82,RiskSlide!$H111)</f>
        <v>596.2032779538049</v>
      </c>
      <c r="BK82">
        <f>PnL((($D$7*(1+BK$2))+($D$5-$D$6)),$E82,(RiskSlide!$A$7),($G82+BK$3),((RiskSlide!$A$12)/260),$C82,$B82,RiskSlide!$H111)</f>
        <v>1425.4706462152058</v>
      </c>
      <c r="BL82">
        <f>PnL((($D$7*(1+BL$2))+($D$5-$D$6)),$E82,(RiskSlide!$A$7),($G82+BL$3),((RiskSlide!$A$12)/260),$C82,$B82,RiskSlide!$H111)</f>
        <v>2363.671300446606</v>
      </c>
      <c r="BM82">
        <f>PnL((($D$7*(1+BM$2))+($D$5-$D$6)),$E82,(RiskSlide!$A$7),($G82+BM$3),((RiskSlide!$A$12)/260),$C82,$B82,RiskSlide!$H111)</f>
        <v>-1361.9607401626695</v>
      </c>
      <c r="BN82">
        <f>PnL((($D$7*(1+BN$2))+($D$5-$D$6)),$E82,(RiskSlide!$A$7),($G82+BN$3),((RiskSlide!$A$12)/260),$C82,$B82,RiskSlide!$H111)</f>
        <v>-307.45304661243154</v>
      </c>
      <c r="BO82">
        <f>PnL((($D$7*(1+BO$2))+($D$5-$D$6)),$E82,(RiskSlide!$A$7),($G82+BO$3),((RiskSlide!$A$12)/260),$C82,$B82,RiskSlide!$H111)</f>
        <v>524.22424661160676</v>
      </c>
      <c r="BP82">
        <f>PnL((($D$7*(1+BP$2))+($D$5-$D$6)),$E82,(RiskSlide!$A$7),($G82+BP$3),((RiskSlide!$A$12)/260),$C82,$B82,RiskSlide!$H111)</f>
        <v>626.93222840428007</v>
      </c>
      <c r="BQ82">
        <f>PnL((($D$7*(1+BQ$2))+($D$5-$D$6)),$E82,(RiskSlide!$A$7),($G82+BQ$3),((RiskSlide!$A$12)/260),$C82,$B82,RiskSlide!$H111)</f>
        <v>729.26035489314245</v>
      </c>
      <c r="BR82">
        <f>PnL((($D$7*(1+BR$2))+($D$5-$D$6)),$E82,(RiskSlide!$A$7),($G82+BR$3),((RiskSlide!$A$12)/260),$C82,$B82,RiskSlide!$H111)</f>
        <v>831.16565767367092</v>
      </c>
      <c r="BS82">
        <f>PnL((($D$7*(1+BS$2))+($D$5-$D$6)),$E82,(RiskSlide!$A$7),($G82+BS$3),((RiskSlide!$A$12)/260),$C82,$B82,RiskSlide!$H111)</f>
        <v>932.59856515080628</v>
      </c>
      <c r="BT82">
        <f>PnL((($D$7*(1+BT$2))+($D$5-$D$6)),$E82,(RiskSlide!$A$7),($G82+BT$3),((RiskSlide!$A$12)/260),$C82,$B82,RiskSlide!$H111)</f>
        <v>1717.5149741599398</v>
      </c>
      <c r="BU82">
        <f>PnL((($D$7*(1+BU$2))+($D$5-$D$6)),$E82,(RiskSlide!$A$7),($G82+BU$3),((RiskSlide!$A$12)/260),$C82,$B82,RiskSlide!$H111)</f>
        <v>2488.770539872502</v>
      </c>
      <c r="BV82">
        <f>PnL((($D$7*(1+BV$2))+($D$5-$D$6)),$E82,(RiskSlide!$A$7),($G82+BV$3),((RiskSlide!$A$12)/260),$C82,$B82,RiskSlide!$H111)</f>
        <v>847.22392035764642</v>
      </c>
      <c r="BW82">
        <f>PnL((($D$7*(1+BW$2))+($D$5-$D$6)),$E82,(RiskSlide!$A$7),($G82+BW$3),((RiskSlide!$A$12)/260),$C82,$B82,RiskSlide!$H111)</f>
        <v>1624.8411258680846</v>
      </c>
      <c r="BX82">
        <f>PnL((($D$7*(1+BX$2))+($D$5-$D$6)),$E82,(RiskSlide!$A$7),($G82+BX$3),((RiskSlide!$A$12)/260),$C82,$B82,RiskSlide!$H111)</f>
        <v>2125.908862418848</v>
      </c>
      <c r="BY82">
        <f>PnL((($D$7*(1+BY$2))+($D$5-$D$6)),$E82,(RiskSlide!$A$7),($G82+BY$3),((RiskSlide!$A$12)/260),$C82,$B82,RiskSlide!$H111)</f>
        <v>2177.8406072610551</v>
      </c>
      <c r="BZ82">
        <f>PnL((($D$7*(1+BZ$2))+($D$5-$D$6)),$E82,(RiskSlide!$A$7),($G82+BZ$3),((RiskSlide!$A$12)/260),$C82,$B82,RiskSlide!$H111)</f>
        <v>2226.9305950011585</v>
      </c>
      <c r="CA82">
        <f>PnL((($D$7*(1+CA$2))+($D$5-$D$6)),$E82,(RiskSlide!$A$7),($G82+CA$3),((RiskSlide!$A$12)/260),$C82,$B82,RiskSlide!$H111)</f>
        <v>2273.0303396566396</v>
      </c>
      <c r="CB82">
        <f>PnL((($D$7*(1+CB$2))+($D$5-$D$6)),$E82,(RiskSlide!$A$7),($G82+CB$3),((RiskSlide!$A$12)/260),$C82,$B82,RiskSlide!$H111)</f>
        <v>2315.9926606898466</v>
      </c>
      <c r="CC82">
        <f>PnL((($D$7*(1+CC$2))+($D$5-$D$6)),$E82,(RiskSlide!$A$7),($G82+CC$3),((RiskSlide!$A$12)/260),$C82,$B82,RiskSlide!$H111)</f>
        <v>2533.7303286491865</v>
      </c>
      <c r="CD82">
        <f>PnL((($D$7*(1+CD$2))+($D$5-$D$6)),$E82,(RiskSlide!$A$7),($G82+CD$3),((RiskSlide!$A$12)/260),$C82,$B82,RiskSlide!$H111)</f>
        <v>2565.9933997629673</v>
      </c>
      <c r="CE82">
        <f>PnL((($D$7*(1+CE$2))+($D$5-$D$6)),$E82,(RiskSlide!$A$7),($G82+CE$3),((RiskSlide!$A$12)/260),$C82,$B82,RiskSlide!$H111)</f>
        <v>2080.6630626290171</v>
      </c>
      <c r="CF82">
        <f>PnL((($D$7*(1+CF$2))+($D$5-$D$6)),$E82,(RiskSlide!$A$7),($G82+CF$3),((RiskSlide!$A$12)/260),$C82,$B82,RiskSlide!$H111)</f>
        <v>2410.2294504634019</v>
      </c>
      <c r="CG82">
        <f>PnL((($D$7*(1+CG$2))+($D$5-$D$6)),$E82,(RiskSlide!$A$7),($G82+CG$3),((RiskSlide!$A$12)/260),$C82,$B82,RiskSlide!$H111)</f>
        <v>2534.1477219751614</v>
      </c>
      <c r="CH82">
        <f>PnL((($D$7*(1+CH$2))+($D$5-$D$6)),$E82,(RiskSlide!$A$7),($G82+CH$3),((RiskSlide!$A$12)/260),$C82,$B82,RiskSlide!$H111)</f>
        <v>2541.8634144359967</v>
      </c>
      <c r="CI82">
        <f>PnL((($D$7*(1+CI$2))+($D$5-$D$6)),$E82,(RiskSlide!$A$7),($G82+CI$3),((RiskSlide!$A$12)/260),$C82,$B82,RiskSlide!$H111)</f>
        <v>2548.1758046205173</v>
      </c>
      <c r="CJ82">
        <f>PnL((($D$7*(1+CJ$2))+($D$5-$D$6)),$E82,(RiskSlide!$A$7),($G82+CJ$3),((RiskSlide!$A$12)/260),$C82,$B82,RiskSlide!$H111)</f>
        <v>2553.2207162869186</v>
      </c>
      <c r="CK82">
        <f>PnL((($D$7*(1+CK$2))+($D$5-$D$6)),$E82,(RiskSlide!$A$7),($G82+CK$3),((RiskSlide!$A$12)/260),$C82,$B82,RiskSlide!$H111)</f>
        <v>2557.1445996797229</v>
      </c>
      <c r="CL82">
        <f>PnL((($D$7*(1+CL$2))+($D$5-$D$6)),$E82,(RiskSlide!$A$7),($G82+CL$3),((RiskSlide!$A$12)/260),$C82,$B82,RiskSlide!$H111)</f>
        <v>2565.9441210686614</v>
      </c>
      <c r="CM82">
        <f>PnL((($D$7*(1+CM$2))+($D$5-$D$6)),$E82,(RiskSlide!$A$7),($G82+CM$3),((RiskSlide!$A$12)/260),$C82,$B82,RiskSlide!$H111)</f>
        <v>2565.9934383354539</v>
      </c>
    </row>
    <row r="83" spans="1:91" x14ac:dyDescent="0.25">
      <c r="A83" t="s">
        <v>78</v>
      </c>
      <c r="B83">
        <v>12</v>
      </c>
      <c r="C83">
        <v>1</v>
      </c>
      <c r="E83">
        <v>1775</v>
      </c>
      <c r="F83">
        <v>3.5000000000000001E-3</v>
      </c>
      <c r="G83">
        <v>0.13106200000000001</v>
      </c>
      <c r="K83">
        <f>PnL((($D$7*(1+K$2))+($D$5-$D$6)),$E83,(RiskSlide!$A$7),($G83+K$3),((RiskSlide!$A$12)/260),$C83,$B83,RiskSlide!$H112)</f>
        <v>-15187.919669516255</v>
      </c>
      <c r="L83">
        <f>PnL((($D$7*(1+L$2))+($D$5-$D$6)),$E83,(RiskSlide!$A$7),($G83+L$3),((RiskSlide!$A$12)/260),$C83,$B83,RiskSlide!$H112)</f>
        <v>-16682.591408079763</v>
      </c>
      <c r="M83">
        <f>PnL((($D$7*(1+M$2))+($D$5-$D$6)),$E83,(RiskSlide!$A$7),($G83+M$3),((RiskSlide!$A$12)/260),$C83,$B83,RiskSlide!$H112)</f>
        <v>-17180.197281228717</v>
      </c>
      <c r="N83">
        <f>PnL((($D$7*(1+N$2))+($D$5-$D$6)),$E83,(RiskSlide!$A$7),($G83+N$3),((RiskSlide!$A$12)/260),$C83,$B83,RiskSlide!$H112)</f>
        <v>-17207.396391199862</v>
      </c>
      <c r="O83">
        <f>PnL((($D$7*(1+O$2))+($D$5-$D$6)),$E83,(RiskSlide!$A$7),($G83+O$3),((RiskSlide!$A$12)/260),$C83,$B83,RiskSlide!$H112)</f>
        <v>-17228.852029022615</v>
      </c>
      <c r="P83">
        <f>PnL((($D$7*(1+P$2))+($D$5-$D$6)),$E83,(RiskSlide!$A$7),($G83+P$3),((RiskSlide!$A$12)/260),$C83,$B83,RiskSlide!$H112)</f>
        <v>-17245.307500291106</v>
      </c>
      <c r="Q83">
        <f>PnL((($D$7*(1+Q$2))+($D$5-$D$6)),$E83,(RiskSlide!$A$7),($G83+Q$3),((RiskSlide!$A$12)/260),$C83,$B83,RiskSlide!$H112)</f>
        <v>-17257.521443764774</v>
      </c>
      <c r="R83">
        <f>PnL((($D$7*(1+R$2))+($D$5-$D$6)),$E83,(RiskSlide!$A$7),($G83+R$3),((RiskSlide!$A$12)/260),$C83,$B83,RiskSlide!$H112)</f>
        <v>-17280.810491829558</v>
      </c>
      <c r="S83">
        <f>PnL((($D$7*(1+S$2))+($D$5-$D$6)),$E83,(RiskSlide!$A$7),($G83+S$3),((RiskSlide!$A$12)/260),$C83,$B83,RiskSlide!$H112)</f>
        <v>-17280.863336649621</v>
      </c>
      <c r="T83">
        <f>PnL((($D$7*(1+T$2))+($D$5-$D$6)),$E83,(RiskSlide!$A$7),($G83+T$3),((RiskSlide!$A$12)/260),$C83,$B83,RiskSlide!$H112)</f>
        <v>-7283.6154557113559</v>
      </c>
      <c r="U83">
        <f>PnL((($D$7*(1+U$2))+($D$5-$D$6)),$E83,(RiskSlide!$A$7),($G83+U$3),((RiskSlide!$A$12)/260),$C83,$B83,RiskSlide!$H112)</f>
        <v>-11790.078267452009</v>
      </c>
      <c r="V83">
        <f>PnL((($D$7*(1+V$2))+($D$5-$D$6)),$E83,(RiskSlide!$A$7),($G83+V$3),((RiskSlide!$A$12)/260),$C83,$B83,RiskSlide!$H112)</f>
        <v>-14709.489828738031</v>
      </c>
      <c r="W83">
        <f>PnL((($D$7*(1+W$2))+($D$5-$D$6)),$E83,(RiskSlide!$A$7),($G83+W$3),((RiskSlide!$A$12)/260),$C83,$B83,RiskSlide!$H112)</f>
        <v>-15013.111108010537</v>
      </c>
      <c r="X83">
        <f>PnL((($D$7*(1+X$2))+($D$5-$D$6)),$E83,(RiskSlide!$A$7),($G83+X$3),((RiskSlide!$A$12)/260),$C83,$B83,RiskSlide!$H112)</f>
        <v>-15300.333197498145</v>
      </c>
      <c r="Y83">
        <f>PnL((($D$7*(1+Y$2))+($D$5-$D$6)),$E83,(RiskSlide!$A$7),($G83+Y$3),((RiskSlide!$A$12)/260),$C83,$B83,RiskSlide!$H112)</f>
        <v>-15570.253339659233</v>
      </c>
      <c r="Z83">
        <f>PnL((($D$7*(1+Z$2))+($D$5-$D$6)),$E83,(RiskSlide!$A$7),($G83+Z$3),((RiskSlide!$A$12)/260),$C83,$B83,RiskSlide!$H112)</f>
        <v>-15821.969729683446</v>
      </c>
      <c r="AA83">
        <f>PnL((($D$7*(1+AA$2))+($D$5-$D$6)),$E83,(RiskSlide!$A$7),($G83+AA$3),((RiskSlide!$A$12)/260),$C83,$B83,RiskSlide!$H112)</f>
        <v>-17097.667312100111</v>
      </c>
      <c r="AB83">
        <f>PnL((($D$7*(1+AB$2))+($D$5-$D$6)),$E83,(RiskSlide!$A$7),($G83+AB$3),((RiskSlide!$A$12)/260),$C83,$B83,RiskSlide!$H112)</f>
        <v>-17280.863273921215</v>
      </c>
      <c r="AC83">
        <f>PnL((($D$7*(1+AC$2))+($D$5-$D$6)),$E83,(RiskSlide!$A$7),($G83+AC$3),((RiskSlide!$A$12)/260),$C83,$B83,RiskSlide!$H112)</f>
        <v>7671.9998818242175</v>
      </c>
      <c r="AD83">
        <f>PnL((($D$7*(1+AD$2))+($D$5-$D$6)),$E83,(RiskSlide!$A$7),($G83+AD$3),((RiskSlide!$A$12)/260),$C83,$B83,RiskSlide!$H112)</f>
        <v>1326.3596441845948</v>
      </c>
      <c r="AE83">
        <f>PnL((($D$7*(1+AE$2))+($D$5-$D$6)),$E83,(RiskSlide!$A$7),($G83+AE$3),((RiskSlide!$A$12)/260),$C83,$B83,RiskSlide!$H112)</f>
        <v>-3714.1495684608344</v>
      </c>
      <c r="AF83">
        <f>PnL((($D$7*(1+AF$2))+($D$5-$D$6)),$E83,(RiskSlide!$A$7),($G83+AF$3),((RiskSlide!$A$12)/260),$C83,$B83,RiskSlide!$H112)</f>
        <v>-4340.3614288873314</v>
      </c>
      <c r="AG83">
        <f>PnL((($D$7*(1+AG$2))+($D$5-$D$6)),$E83,(RiskSlide!$A$7),($G83+AG$3),((RiskSlide!$A$12)/260),$C83,$B83,RiskSlide!$H112)</f>
        <v>-4965.3907961779623</v>
      </c>
      <c r="AH83">
        <f>PnL((($D$7*(1+AH$2))+($D$5-$D$6)),$E83,(RiskSlide!$A$7),($G83+AH$3),((RiskSlide!$A$12)/260),$C83,$B83,RiskSlide!$H112)</f>
        <v>-5589.0980924787527</v>
      </c>
      <c r="AI83">
        <f>PnL((($D$7*(1+AI$2))+($D$5-$D$6)),$E83,(RiskSlide!$A$7),($G83+AI$3),((RiskSlide!$A$12)/260),$C83,$B83,RiskSlide!$H112)</f>
        <v>-6211.3213262698309</v>
      </c>
      <c r="AJ83">
        <f>PnL((($D$7*(1+AJ$2))+($D$5-$D$6)),$E83,(RiskSlide!$A$7),($G83+AJ$3),((RiskSlide!$A$12)/260),$C83,$B83,RiskSlide!$H112)</f>
        <v>-11103.645361297004</v>
      </c>
      <c r="AK83">
        <f>PnL((($D$7*(1+AK$2))+($D$5-$D$6)),$E83,(RiskSlide!$A$7),($G83+AK$3),((RiskSlide!$A$12)/260),$C83,$B83,RiskSlide!$H112)</f>
        <v>-16442.718263652445</v>
      </c>
      <c r="AL83">
        <f>PnL((($D$7*(1+AL$2))+($D$5-$D$6)),$E83,(RiskSlide!$A$7),($G83+AL$3),((RiskSlide!$A$12)/260),$C83,$B83,RiskSlide!$H112)</f>
        <v>10210.826298730968</v>
      </c>
      <c r="AM83">
        <f>PnL((($D$7*(1+AM$2))+($D$5-$D$6)),$E83,(RiskSlide!$A$7),($G83+AM$3),((RiskSlide!$A$12)/260),$C83,$B83,RiskSlide!$H112)</f>
        <v>3791.5754236526254</v>
      </c>
      <c r="AN83">
        <f>PnL((($D$7*(1+AN$2))+($D$5-$D$6)),$E83,(RiskSlide!$A$7),($G83+AN$3),((RiskSlide!$A$12)/260),$C83,$B83,RiskSlide!$H112)</f>
        <v>-1336.778639657382</v>
      </c>
      <c r="AO83">
        <f>PnL((($D$7*(1+AO$2))+($D$5-$D$6)),$E83,(RiskSlide!$A$7),($G83+AO$3),((RiskSlide!$A$12)/260),$C83,$B83,RiskSlide!$H112)</f>
        <v>-1977.0224533724786</v>
      </c>
      <c r="AP83">
        <f>PnL((($D$7*(1+AP$2))+($D$5-$D$6)),$E83,(RiskSlide!$A$7),($G83+AP$3),((RiskSlide!$A$12)/260),$C83,$B83,RiskSlide!$H112)</f>
        <v>-2617.0152263288173</v>
      </c>
      <c r="AQ83">
        <f>PnL((($D$7*(1+AQ$2))+($D$5-$D$6)),$E83,(RiskSlide!$A$7),($G83+AQ$3),((RiskSlide!$A$12)/260),$C83,$B83,RiskSlide!$H112)</f>
        <v>-3256.7256402093108</v>
      </c>
      <c r="AR83">
        <f>PnL((($D$7*(1+AR$2))+($D$5-$D$6)),$E83,(RiskSlide!$A$7),($G83+AR$3),((RiskSlide!$A$12)/260),$C83,$B83,RiskSlide!$H112)</f>
        <v>-3896.1172917386421</v>
      </c>
      <c r="AS83">
        <f>PnL((($D$7*(1+AS$2))+($D$5-$D$6)),$E83,(RiskSlide!$A$7),($G83+AS$3),((RiskSlide!$A$12)/260),$C83,$B83,RiskSlide!$H112)</f>
        <v>-8992.4998683870399</v>
      </c>
      <c r="AT83">
        <f>PnL((($D$7*(1+AT$2))+($D$5-$D$6)),$E83,(RiskSlide!$A$7),($G83+AT$3),((RiskSlide!$A$12)/260),$C83,$B83,RiskSlide!$H112)</f>
        <v>-15175.053597470878</v>
      </c>
      <c r="AU83">
        <f>PnL((($D$7*(1+AU$2))+($D$5-$D$6)),$E83,(RiskSlide!$A$7),($G83+AU$3),((RiskSlide!$A$12)/260),$C83,$B83,RiskSlide!$H112)</f>
        <v>12902.722777053941</v>
      </c>
      <c r="AV83">
        <f>PnL((($D$7*(1+AV$2))+($D$5-$D$6)),$E83,(RiskSlide!$A$7),($G83+AV$3),((RiskSlide!$A$12)/260),$C83,$B83,RiskSlide!$H112)</f>
        <v>6451.888829910331</v>
      </c>
      <c r="AW83">
        <f>PnL((($D$7*(1+AW$2))+($D$5-$D$6)),$E83,(RiskSlide!$A$7),($G83+AW$3),((RiskSlide!$A$12)/260),$C83,$B83,RiskSlide!$H112)</f>
        <v>1290.4293458586153</v>
      </c>
      <c r="AX83">
        <f>PnL((($D$7*(1+AX$2))+($D$5-$D$6)),$E83,(RiskSlide!$A$7),($G83+AX$3),((RiskSlide!$A$12)/260),$C83,$B83,RiskSlide!$H112)</f>
        <v>645.21654490517903</v>
      </c>
      <c r="AY83">
        <f>PnL((($D$7*(1+AY$2))+($D$5-$D$6)),$E83,(RiskSlide!$A$7),($G83+AY$3),((RiskSlide!$A$12)/260),$C83,$B83,RiskSlide!$H112)</f>
        <v>0</v>
      </c>
      <c r="AZ83">
        <f>PnL((($D$7*(1+AZ$2))+($D$5-$D$6)),$E83,(RiskSlide!$A$7),($G83+AZ$3),((RiskSlide!$A$12)/260),$C83,$B83,RiskSlide!$H112)</f>
        <v>-645.21915681793871</v>
      </c>
      <c r="BA83">
        <f>PnL((($D$7*(1+BA$2))+($D$5-$D$6)),$E83,(RiskSlide!$A$7),($G83+BA$3),((RiskSlide!$A$12)/260),$C83,$B83,RiskSlide!$H112)</f>
        <v>-1290.4396679693718</v>
      </c>
      <c r="BB83">
        <f>PnL((($D$7*(1+BB$2))+($D$5-$D$6)),$E83,(RiskSlide!$A$7),($G83+BB$3),((RiskSlide!$A$12)/260),$C83,$B83,RiskSlide!$H112)</f>
        <v>-6452.0295243372857</v>
      </c>
      <c r="BC83">
        <f>PnL((($D$7*(1+BC$2))+($D$5-$D$6)),$E83,(RiskSlide!$A$7),($G83+BC$3),((RiskSlide!$A$12)/260),$C83,$B83,RiskSlide!$H112)</f>
        <v>-12899.797571473528</v>
      </c>
      <c r="BD83">
        <f>PnL((($D$7*(1+BD$2))+($D$5-$D$6)),$E83,(RiskSlide!$A$7),($G83+BD$3),((RiskSlide!$A$12)/260),$C83,$B83,RiskSlide!$H112)</f>
        <v>15746.825556366593</v>
      </c>
      <c r="BE83">
        <f>PnL((($D$7*(1+BE$2))+($D$5-$D$6)),$E83,(RiskSlide!$A$7),($G83+BE$3),((RiskSlide!$A$12)/260),$C83,$B83,RiskSlide!$H112)</f>
        <v>9306.4287876761919</v>
      </c>
      <c r="BF83">
        <f>PnL((($D$7*(1+BF$2))+($D$5-$D$6)),$E83,(RiskSlide!$A$7),($G83+BF$3),((RiskSlide!$A$12)/260),$C83,$B83,RiskSlide!$H112)</f>
        <v>4166.8527860654194</v>
      </c>
      <c r="BG83">
        <f>PnL((($D$7*(1+BG$2))+($D$5-$D$6)),$E83,(RiskSlide!$A$7),($G83+BG$3),((RiskSlide!$A$12)/260),$C83,$B83,RiskSlide!$H112)</f>
        <v>3525.8088864538649</v>
      </c>
      <c r="BH83">
        <f>PnL((($D$7*(1+BH$2))+($D$5-$D$6)),$E83,(RiskSlide!$A$7),($G83+BH$3),((RiskSlide!$A$12)/260),$C83,$B83,RiskSlide!$H112)</f>
        <v>2885.2005743786549</v>
      </c>
      <c r="BI83">
        <f>PnL((($D$7*(1+BI$2))+($D$5-$D$6)),$E83,(RiskSlide!$A$7),($G83+BI$3),((RiskSlide!$A$12)/260),$C83,$B83,RiskSlide!$H112)</f>
        <v>2245.0808936717294</v>
      </c>
      <c r="BJ83">
        <f>PnL((($D$7*(1+BJ$2))+($D$5-$D$6)),$E83,(RiskSlide!$A$7),($G83+BJ$3),((RiskSlide!$A$12)/260),$C83,$B83,RiskSlide!$H112)</f>
        <v>1605.5115092877713</v>
      </c>
      <c r="BK83">
        <f>PnL((($D$7*(1+BK$2))+($D$5-$D$6)),$E83,(RiskSlide!$A$7),($G83+BK$3),((RiskSlide!$A$12)/260),$C83,$B83,RiskSlide!$H112)</f>
        <v>-3478.9207627934729</v>
      </c>
      <c r="BL83">
        <f>PnL((($D$7*(1+BL$2))+($D$5-$D$6)),$E83,(RiskSlide!$A$7),($G83+BL$3),((RiskSlide!$A$12)/260),$C83,$B83,RiskSlide!$H112)</f>
        <v>-9519.7221099336493</v>
      </c>
      <c r="BM83">
        <f>PnL((($D$7*(1+BM$2))+($D$5-$D$6)),$E83,(RiskSlide!$A$7),($G83+BM$3),((RiskSlide!$A$12)/260),$C83,$B83,RiskSlide!$H112)</f>
        <v>18741.511375420807</v>
      </c>
      <c r="BN83">
        <f>PnL((($D$7*(1+BN$2))+($D$5-$D$6)),$E83,(RiskSlide!$A$7),($G83+BN$3),((RiskSlide!$A$12)/260),$C83,$B83,RiskSlide!$H112)</f>
        <v>12352.736561116377</v>
      </c>
      <c r="BO83">
        <f>PnL((($D$7*(1+BO$2))+($D$5-$D$6)),$E83,(RiskSlide!$A$7),($G83+BO$3),((RiskSlide!$A$12)/260),$C83,$B83,RiskSlide!$H112)</f>
        <v>7288.5064366050074</v>
      </c>
      <c r="BP83">
        <f>PnL((($D$7*(1+BP$2))+($D$5-$D$6)),$E83,(RiskSlide!$A$7),($G83+BP$3),((RiskSlide!$A$12)/260),$C83,$B83,RiskSlide!$H112)</f>
        <v>6660.4597705952756</v>
      </c>
      <c r="BQ83">
        <f>PnL((($D$7*(1+BQ$2))+($D$5-$D$6)),$E83,(RiskSlide!$A$7),($G83+BQ$3),((RiskSlide!$A$12)/260),$C83,$B83,RiskSlide!$H112)</f>
        <v>6033.9390129373669</v>
      </c>
      <c r="BR83">
        <f>PnL((($D$7*(1+BR$2))+($D$5-$D$6)),$E83,(RiskSlide!$A$7),($G83+BR$3),((RiskSlide!$A$12)/260),$C83,$B83,RiskSlide!$H112)</f>
        <v>5409.1228565857136</v>
      </c>
      <c r="BS83">
        <f>PnL((($D$7*(1+BS$2))+($D$5-$D$6)),$E83,(RiskSlide!$A$7),($G83+BS$3),((RiskSlide!$A$12)/260),$C83,$B83,RiskSlide!$H112)</f>
        <v>4786.2184908757854</v>
      </c>
      <c r="BT83">
        <f>PnL((($D$7*(1+BT$2))+($D$5-$D$6)),$E83,(RiskSlide!$A$7),($G83+BT$3),((RiskSlide!$A$12)/260),$C83,$B83,RiskSlide!$H112)</f>
        <v>-87.414300953264501</v>
      </c>
      <c r="BU83">
        <f>PnL((($D$7*(1+BU$2))+($D$5-$D$6)),$E83,(RiskSlide!$A$7),($G83+BU$3),((RiskSlide!$A$12)/260),$C83,$B83,RiskSlide!$H112)</f>
        <v>-5214.5202540078344</v>
      </c>
      <c r="BV83">
        <f>PnL((($D$7*(1+BV$2))+($D$5-$D$6)),$E83,(RiskSlide!$A$7),($G83+BV$3),((RiskSlide!$A$12)/260),$C83,$B83,RiskSlide!$H112)</f>
        <v>47710.551934896488</v>
      </c>
      <c r="BW83">
        <f>PnL((($D$7*(1+BW$2))+($D$5-$D$6)),$E83,(RiskSlide!$A$7),($G83+BW$3),((RiskSlide!$A$12)/260),$C83,$B83,RiskSlide!$H112)</f>
        <v>42900.154418557875</v>
      </c>
      <c r="BX83">
        <f>PnL((($D$7*(1+BX$2))+($D$5-$D$6)),$E83,(RiskSlide!$A$7),($G83+BX$3),((RiskSlide!$A$12)/260),$C83,$B83,RiskSlide!$H112)</f>
        <v>39754.136835876423</v>
      </c>
      <c r="BY83">
        <f>PnL((($D$7*(1+BY$2))+($D$5-$D$6)),$E83,(RiskSlide!$A$7),($G83+BY$3),((RiskSlide!$A$12)/260),$C83,$B83,RiskSlide!$H112)</f>
        <v>39424.165389012545</v>
      </c>
      <c r="BZ83">
        <f>PnL((($D$7*(1+BZ$2))+($D$5-$D$6)),$E83,(RiskSlide!$A$7),($G83+BZ$3),((RiskSlide!$A$12)/260),$C83,$B83,RiskSlide!$H112)</f>
        <v>39111.229776573986</v>
      </c>
      <c r="CA83">
        <f>PnL((($D$7*(1+CA$2))+($D$5-$D$6)),$E83,(RiskSlide!$A$7),($G83+CA$3),((RiskSlide!$A$12)/260),$C83,$B83,RiskSlide!$H112)</f>
        <v>38816.315837911927</v>
      </c>
      <c r="CB83">
        <f>PnL((($D$7*(1+CB$2))+($D$5-$D$6)),$E83,(RiskSlide!$A$7),($G83+CB$3),((RiskSlide!$A$12)/260),$C83,$B83,RiskSlide!$H112)</f>
        <v>38540.419713332609</v>
      </c>
      <c r="CC83">
        <f>PnL((($D$7*(1+CC$2))+($D$5-$D$6)),$E83,(RiskSlide!$A$7),($G83+CC$3),((RiskSlide!$A$12)/260),$C83,$B83,RiskSlide!$H112)</f>
        <v>37115.946959368717</v>
      </c>
      <c r="CD83">
        <f>PnL((($D$7*(1+CD$2))+($D$5-$D$6)),$E83,(RiskSlide!$A$7),($G83+CD$3),((RiskSlide!$A$12)/260),$C83,$B83,RiskSlide!$H112)</f>
        <v>36896.958143473901</v>
      </c>
      <c r="CE83">
        <f>PnL((($D$7*(1+CE$2))+($D$5-$D$6)),$E83,(RiskSlide!$A$7),($G83+CE$3),((RiskSlide!$A$12)/260),$C83,$B83,RiskSlide!$H112)</f>
        <v>93410.153099874718</v>
      </c>
      <c r="CF83">
        <f>PnL((($D$7*(1+CF$2))+($D$5-$D$6)),$E83,(RiskSlide!$A$7),($G83+CF$3),((RiskSlide!$A$12)/260),$C83,$B83,RiskSlide!$H112)</f>
        <v>91344.737463271274</v>
      </c>
      <c r="CG83">
        <f>PnL((($D$7*(1+CG$2))+($D$5-$D$6)),$E83,(RiskSlide!$A$7),($G83+CG$3),((RiskSlide!$A$12)/260),$C83,$B83,RiskSlide!$H112)</f>
        <v>90557.154154510703</v>
      </c>
      <c r="CH83">
        <f>PnL((($D$7*(1+CH$2))+($D$5-$D$6)),$E83,(RiskSlide!$A$7),($G83+CH$3),((RiskSlide!$A$12)/260),$C83,$B83,RiskSlide!$H112)</f>
        <v>90507.681389131016</v>
      </c>
      <c r="CI83">
        <f>PnL((($D$7*(1+CI$2))+($D$5-$D$6)),$E83,(RiskSlide!$A$7),($G83+CI$3),((RiskSlide!$A$12)/260),$C83,$B83,RiskSlide!$H112)</f>
        <v>90467.149741859364</v>
      </c>
      <c r="CJ83">
        <f>PnL((($D$7*(1+CJ$2))+($D$5-$D$6)),$E83,(RiskSlide!$A$7),($G83+CJ$3),((RiskSlide!$A$12)/260),$C83,$B83,RiskSlide!$H112)</f>
        <v>90434.719596891198</v>
      </c>
      <c r="CK83">
        <f>PnL((($D$7*(1+CK$2))+($D$5-$D$6)),$E83,(RiskSlide!$A$7),($G83+CK$3),((RiskSlide!$A$12)/260),$C83,$B83,RiskSlide!$H112)</f>
        <v>90409.476533077366</v>
      </c>
      <c r="CL83">
        <f>PnL((($D$7*(1+CL$2))+($D$5-$D$6)),$E83,(RiskSlide!$A$7),($G83+CL$3),((RiskSlide!$A$12)/260),$C83,$B83,RiskSlide!$H112)</f>
        <v>90353.0493639981</v>
      </c>
      <c r="CM83">
        <f>PnL((($D$7*(1+CM$2))+($D$5-$D$6)),$E83,(RiskSlide!$A$7),($G83+CM$3),((RiskSlide!$A$12)/260),$C83,$B83,RiskSlide!$H112)</f>
        <v>90352.758010755831</v>
      </c>
    </row>
    <row r="84" spans="1:91" x14ac:dyDescent="0.25">
      <c r="A84" t="s">
        <v>79</v>
      </c>
      <c r="B84">
        <v>1</v>
      </c>
      <c r="C84">
        <v>1</v>
      </c>
      <c r="E84">
        <v>1780</v>
      </c>
      <c r="F84">
        <v>3.5000000000000001E-3</v>
      </c>
      <c r="G84">
        <v>0.12878300000000001</v>
      </c>
      <c r="K84">
        <f>PnL((($D$7*(1+K$2))+($D$5-$D$6)),$E84,(RiskSlide!$A$7),($G84+K$3),((RiskSlide!$A$12)/260),$C84,$B84,RiskSlide!$H113)</f>
        <v>-1142.1460245900569</v>
      </c>
      <c r="L84">
        <f>PnL((($D$7*(1+L$2))+($D$5-$D$6)),$E84,(RiskSlide!$A$7),($G84+L$3),((RiskSlide!$A$12)/260),$C84,$B84,RiskSlide!$H113)</f>
        <v>-1254.0807253871424</v>
      </c>
      <c r="M84">
        <f>PnL((($D$7*(1+M$2))+($D$5-$D$6)),$E84,(RiskSlide!$A$7),($G84+M$3),((RiskSlide!$A$12)/260),$C84,$B84,RiskSlide!$H113)</f>
        <v>-1288.4811860684713</v>
      </c>
      <c r="N84">
        <f>PnL((($D$7*(1+N$2))+($D$5-$D$6)),$E84,(RiskSlide!$A$7),($G84+N$3),((RiskSlide!$A$12)/260),$C84,$B84,RiskSlide!$H113)</f>
        <v>-1290.1976972141188</v>
      </c>
      <c r="O84">
        <f>PnL((($D$7*(1+O$2))+($D$5-$D$6)),$E84,(RiskSlide!$A$7),($G84+O$3),((RiskSlide!$A$12)/260),$C84,$B84,RiskSlide!$H113)</f>
        <v>-1291.5172427967448</v>
      </c>
      <c r="P84">
        <f>PnL((($D$7*(1+P$2))+($D$5-$D$6)),$E84,(RiskSlide!$A$7),($G84+P$3),((RiskSlide!$A$12)/260),$C84,$B84,RiskSlide!$H113)</f>
        <v>-1292.4999215541347</v>
      </c>
      <c r="Q84">
        <f>PnL((($D$7*(1+Q$2))+($D$5-$D$6)),$E84,(RiskSlide!$A$7),($G84+Q$3),((RiskSlide!$A$12)/260),$C84,$B84,RiskSlide!$H113)</f>
        <v>-1293.2051064933582</v>
      </c>
      <c r="R84">
        <f>PnL((($D$7*(1+R$2))+($D$5-$D$6)),$E84,(RiskSlide!$A$7),($G84+R$3),((RiskSlide!$A$12)/260),$C84,$B84,RiskSlide!$H113)</f>
        <v>-1294.4103308625888</v>
      </c>
      <c r="S84">
        <f>PnL((($D$7*(1+S$2))+($D$5-$D$6)),$E84,(RiskSlide!$A$7),($G84+S$3),((RiskSlide!$A$12)/260),$C84,$B84,RiskSlide!$H113)</f>
        <v>-1294.4116826953632</v>
      </c>
      <c r="T84">
        <f>PnL((($D$7*(1+T$2))+($D$5-$D$6)),$E84,(RiskSlide!$A$7),($G84+T$3),((RiskSlide!$A$12)/260),$C84,$B84,RiskSlide!$H113)</f>
        <v>-533.61972926198575</v>
      </c>
      <c r="U84">
        <f>PnL((($D$7*(1+U$2))+($D$5-$D$6)),$E84,(RiskSlide!$A$7),($G84+U$3),((RiskSlide!$A$12)/260),$C84,$B84,RiskSlide!$H113)</f>
        <v>-892.72454597236504</v>
      </c>
      <c r="V84">
        <f>PnL((($D$7*(1+V$2))+($D$5-$D$6)),$E84,(RiskSlide!$A$7),($G84+V$3),((RiskSlide!$A$12)/260),$C84,$B84,RiskSlide!$H113)</f>
        <v>-1117.8230511271593</v>
      </c>
      <c r="W84">
        <f>PnL((($D$7*(1+W$2))+($D$5-$D$6)),$E84,(RiskSlide!$A$7),($G84+W$3),((RiskSlide!$A$12)/260),$C84,$B84,RiskSlide!$H113)</f>
        <v>-1140.5164611837747</v>
      </c>
      <c r="X84">
        <f>PnL((($D$7*(1+X$2))+($D$5-$D$6)),$E84,(RiskSlide!$A$7),($G84+X$3),((RiskSlide!$A$12)/260),$C84,$B84,RiskSlide!$H113)</f>
        <v>-1161.7804592246259</v>
      </c>
      <c r="Y84">
        <f>PnL((($D$7*(1+Y$2))+($D$5-$D$6)),$E84,(RiskSlide!$A$7),($G84+Y$3),((RiskSlide!$A$12)/260),$C84,$B84,RiskSlide!$H113)</f>
        <v>-1181.5487122335285</v>
      </c>
      <c r="Z84">
        <f>PnL((($D$7*(1+Z$2))+($D$5-$D$6)),$E84,(RiskSlide!$A$7),($G84+Z$3),((RiskSlide!$A$12)/260),$C84,$B84,RiskSlide!$H113)</f>
        <v>-1199.7580771807513</v>
      </c>
      <c r="AA84">
        <f>PnL((($D$7*(1+AA$2))+($D$5-$D$6)),$E84,(RiskSlide!$A$7),($G84+AA$3),((RiskSlide!$A$12)/260),$C84,$B84,RiskSlide!$H113)</f>
        <v>-1285.3719603497475</v>
      </c>
      <c r="AB84">
        <f>PnL((($D$7*(1+AB$2))+($D$5-$D$6)),$E84,(RiskSlide!$A$7),($G84+AB$3),((RiskSlide!$A$12)/260),$C84,$B84,RiskSlide!$H113)</f>
        <v>-1294.4116826438901</v>
      </c>
      <c r="AC84">
        <f>PnL((($D$7*(1+AC$2))+($D$5-$D$6)),$E84,(RiskSlide!$A$7),($G84+AC$3),((RiskSlide!$A$12)/260),$C84,$B84,RiskSlide!$H113)</f>
        <v>654.73906877783747</v>
      </c>
      <c r="AD84">
        <f>PnL((($D$7*(1+AD$2))+($D$5-$D$6)),$E84,(RiskSlide!$A$7),($G84+AD$3),((RiskSlide!$A$12)/260),$C84,$B84,RiskSlide!$H113)</f>
        <v>129.57126866701287</v>
      </c>
      <c r="AE84">
        <f>PnL((($D$7*(1+AE$2))+($D$5-$D$6)),$E84,(RiskSlide!$A$7),($G84+AE$3),((RiskSlide!$A$12)/260),$C84,$B84,RiskSlide!$H113)</f>
        <v>-285.29033647649271</v>
      </c>
      <c r="AF84">
        <f>PnL((($D$7*(1+AF$2))+($D$5-$D$6)),$E84,(RiskSlide!$A$7),($G84+AF$3),((RiskSlide!$A$12)/260),$C84,$B84,RiskSlide!$H113)</f>
        <v>-336.58588589071883</v>
      </c>
      <c r="AG84">
        <f>PnL((($D$7*(1+AG$2))+($D$5-$D$6)),$E84,(RiskSlide!$A$7),($G84+AG$3),((RiskSlide!$A$12)/260),$C84,$B84,RiskSlide!$H113)</f>
        <v>-387.70897758948308</v>
      </c>
      <c r="AH84">
        <f>PnL((($D$7*(1+AH$2))+($D$5-$D$6)),$E84,(RiskSlide!$A$7),($G84+AH$3),((RiskSlide!$A$12)/260),$C84,$B84,RiskSlide!$H113)</f>
        <v>-438.63927890124614</v>
      </c>
      <c r="AI84">
        <f>PnL((($D$7*(1+AI$2))+($D$5-$D$6)),$E84,(RiskSlide!$A$7),($G84+AI$3),((RiskSlide!$A$12)/260),$C84,$B84,RiskSlide!$H113)</f>
        <v>-489.35319148039866</v>
      </c>
      <c r="AJ84">
        <f>PnL((($D$7*(1+AJ$2))+($D$5-$D$6)),$E84,(RiskSlide!$A$7),($G84+AJ$3),((RiskSlide!$A$12)/260),$C84,$B84,RiskSlide!$H113)</f>
        <v>-882.61752568475345</v>
      </c>
      <c r="AK84">
        <f>PnL((($D$7*(1+AK$2))+($D$5-$D$6)),$E84,(RiskSlide!$A$7),($G84+AK$3),((RiskSlide!$A$12)/260),$C84,$B84,RiskSlide!$H113)</f>
        <v>-1265.8980891159672</v>
      </c>
      <c r="AL84">
        <f>PnL((($D$7*(1+AL$2))+($D$5-$D$6)),$E84,(RiskSlide!$A$7),($G84+AL$3),((RiskSlide!$A$12)/260),$C84,$B84,RiskSlide!$H113)</f>
        <v>858.90931671401063</v>
      </c>
      <c r="AM84">
        <f>PnL((($D$7*(1+AM$2))+($D$5-$D$6)),$E84,(RiskSlide!$A$7),($G84+AM$3),((RiskSlide!$A$12)/260),$C84,$B84,RiskSlide!$H113)</f>
        <v>325.53616696037579</v>
      </c>
      <c r="AN84">
        <f>PnL((($D$7*(1+AN$2))+($D$5-$D$6)),$E84,(RiskSlide!$A$7),($G84+AN$3),((RiskSlide!$A$12)/260),$C84,$B84,RiskSlide!$H113)</f>
        <v>-99.365895803686044</v>
      </c>
      <c r="AO84">
        <f>PnL((($D$7*(1+AO$2))+($D$5-$D$6)),$E84,(RiskSlide!$A$7),($G84+AO$3),((RiskSlide!$A$12)/260),$C84,$B84,RiskSlide!$H113)</f>
        <v>-152.28286712345493</v>
      </c>
      <c r="AP84">
        <f>PnL((($D$7*(1+AP$2))+($D$5-$D$6)),$E84,(RiskSlide!$A$7),($G84+AP$3),((RiskSlide!$A$12)/260),$C84,$B84,RiskSlide!$H113)</f>
        <v>-205.139146967025</v>
      </c>
      <c r="AQ84">
        <f>PnL((($D$7*(1+AQ$2))+($D$5-$D$6)),$E84,(RiskSlide!$A$7),($G84+AQ$3),((RiskSlide!$A$12)/260),$C84,$B84,RiskSlide!$H113)</f>
        <v>-257.92733444470741</v>
      </c>
      <c r="AR84">
        <f>PnL((($D$7*(1+AR$2))+($D$5-$D$6)),$E84,(RiskSlide!$A$7),($G84+AR$3),((RiskSlide!$A$12)/260),$C84,$B84,RiskSlide!$H113)</f>
        <v>-310.63880668154411</v>
      </c>
      <c r="AS84">
        <f>PnL((($D$7*(1+AS$2))+($D$5-$D$6)),$E84,(RiskSlide!$A$7),($G84+AS$3),((RiskSlide!$A$12)/260),$C84,$B84,RiskSlide!$H113)</f>
        <v>-727.83308103207673</v>
      </c>
      <c r="AT84">
        <f>PnL((($D$7*(1+AT$2))+($D$5-$D$6)),$E84,(RiskSlide!$A$7),($G84+AT$3),((RiskSlide!$A$12)/260),$C84,$B84,RiskSlide!$H113)</f>
        <v>-1204.3569469247386</v>
      </c>
      <c r="AU84">
        <f>PnL((($D$7*(1+AU$2))+($D$5-$D$6)),$E84,(RiskSlide!$A$7),($G84+AU$3),((RiskSlide!$A$12)/260),$C84,$B84,RiskSlide!$H113)</f>
        <v>1075.9369434180996</v>
      </c>
      <c r="AV84">
        <f>PnL((($D$7*(1+AV$2))+($D$5-$D$6)),$E84,(RiskSlide!$A$7),($G84+AV$3),((RiskSlide!$A$12)/260),$C84,$B84,RiskSlide!$H113)</f>
        <v>537.89788332772446</v>
      </c>
      <c r="AW84">
        <f>PnL((($D$7*(1+AW$2))+($D$5-$D$6)),$E84,(RiskSlide!$A$7),($G84+AW$3),((RiskSlide!$A$12)/260),$C84,$B84,RiskSlide!$H113)</f>
        <v>107.55371571552246</v>
      </c>
      <c r="AX84">
        <f>PnL((($D$7*(1+AX$2))+($D$5-$D$6)),$E84,(RiskSlide!$A$7),($G84+AX$3),((RiskSlide!$A$12)/260),$C84,$B84,RiskSlide!$H113)</f>
        <v>53.774496429753071</v>
      </c>
      <c r="AY84">
        <f>PnL((($D$7*(1+AY$2))+($D$5-$D$6)),$E84,(RiskSlide!$A$7),($G84+AY$3),((RiskSlide!$A$12)/260),$C84,$B84,RiskSlide!$H113)</f>
        <v>0</v>
      </c>
      <c r="AZ84">
        <f>PnL((($D$7*(1+AZ$2))+($D$5-$D$6)),$E84,(RiskSlide!$A$7),($G84+AZ$3),((RiskSlide!$A$12)/260),$C84,$B84,RiskSlide!$H113)</f>
        <v>-53.76907015239567</v>
      </c>
      <c r="BA84">
        <f>PnL((($D$7*(1+BA$2))+($D$5-$D$6)),$E84,(RiskSlide!$A$7),($G84+BA$3),((RiskSlide!$A$12)/260),$C84,$B84,RiskSlide!$H113)</f>
        <v>-107.53189754840946</v>
      </c>
      <c r="BB84">
        <f>PnL((($D$7*(1+BB$2))+($D$5-$D$6)),$E84,(RiskSlide!$A$7),($G84+BB$3),((RiskSlide!$A$12)/260),$C84,$B84,RiskSlide!$H113)</f>
        <v>-537.24615400885796</v>
      </c>
      <c r="BC84">
        <f>PnL((($D$7*(1+BC$2))+($D$5-$D$6)),$E84,(RiskSlide!$A$7),($G84+BC$3),((RiskSlide!$A$12)/260),$C84,$B84,RiskSlide!$H113)</f>
        <v>-1070.0290169381674</v>
      </c>
      <c r="BD84">
        <f>PnL((($D$7*(1+BD$2))+($D$5-$D$6)),$E84,(RiskSlide!$A$7),($G84+BD$3),((RiskSlide!$A$12)/260),$C84,$B84,RiskSlide!$H113)</f>
        <v>1305.7873437853232</v>
      </c>
      <c r="BE84">
        <f>PnL((($D$7*(1+BE$2))+($D$5-$D$6)),$E84,(RiskSlide!$A$7),($G84+BE$3),((RiskSlide!$A$12)/260),$C84,$B84,RiskSlide!$H113)</f>
        <v>766.66285897474609</v>
      </c>
      <c r="BF84">
        <f>PnL((($D$7*(1+BF$2))+($D$5-$D$6)),$E84,(RiskSlide!$A$7),($G84+BF$3),((RiskSlide!$A$12)/260),$C84,$B84,RiskSlide!$H113)</f>
        <v>335.58672871793647</v>
      </c>
      <c r="BG84">
        <f>PnL((($D$7*(1+BG$2))+($D$5-$D$6)),$E84,(RiskSlide!$A$7),($G84+BG$3),((RiskSlide!$A$12)/260),$C84,$B84,RiskSlide!$H113)</f>
        <v>281.73058870432328</v>
      </c>
      <c r="BH84">
        <f>PnL((($D$7*(1+BH$2))+($D$5-$D$6)),$E84,(RiskSlide!$A$7),($G84+BH$3),((RiskSlide!$A$12)/260),$C84,$B84,RiskSlide!$H113)</f>
        <v>227.8836658203204</v>
      </c>
      <c r="BI84">
        <f>PnL((($D$7*(1+BI$2))+($D$5-$D$6)),$E84,(RiskSlide!$A$7),($G84+BI$3),((RiskSlide!$A$12)/260),$C84,$B84,RiskSlide!$H113)</f>
        <v>174.0472068826648</v>
      </c>
      <c r="BJ84">
        <f>PnL((($D$7*(1+BJ$2))+($D$5-$D$6)),$E84,(RiskSlide!$A$7),($G84+BJ$3),((RiskSlide!$A$12)/260),$C84,$B84,RiskSlide!$H113)</f>
        <v>120.22266289983463</v>
      </c>
      <c r="BK84">
        <f>PnL((($D$7*(1+BK$2))+($D$5-$D$6)),$E84,(RiskSlide!$A$7),($G84+BK$3),((RiskSlide!$A$12)/260),$C84,$B84,RiskSlide!$H113)</f>
        <v>-309.6521787231211</v>
      </c>
      <c r="BL84">
        <f>PnL((($D$7*(1+BL$2))+($D$5-$D$6)),$E84,(RiskSlide!$A$7),($G84+BL$3),((RiskSlide!$A$12)/260),$C84,$B84,RiskSlide!$H113)</f>
        <v>-839.12305445176116</v>
      </c>
      <c r="BM84">
        <f>PnL((($D$7*(1+BM$2))+($D$5-$D$6)),$E84,(RiskSlide!$A$7),($G84+BM$3),((RiskSlide!$A$12)/260),$C84,$B84,RiskSlide!$H113)</f>
        <v>1548.3599351774103</v>
      </c>
      <c r="BN84">
        <f>PnL((($D$7*(1+BN$2))+($D$5-$D$6)),$E84,(RiskSlide!$A$7),($G84+BN$3),((RiskSlide!$A$12)/260),$C84,$B84,RiskSlide!$H113)</f>
        <v>1011.6986191712044</v>
      </c>
      <c r="BO84">
        <f>PnL((($D$7*(1+BO$2))+($D$5-$D$6)),$E84,(RiskSlide!$A$7),($G84+BO$3),((RiskSlide!$A$12)/260),$C84,$B84,RiskSlide!$H113)</f>
        <v>584.55434379712869</v>
      </c>
      <c r="BP84">
        <f>PnL((($D$7*(1+BP$2))+($D$5-$D$6)),$E84,(RiskSlide!$A$7),($G84+BP$3),((RiskSlide!$A$12)/260),$C84,$B84,RiskSlide!$H113)</f>
        <v>531.39831544770004</v>
      </c>
      <c r="BQ84">
        <f>PnL((($D$7*(1+BQ$2))+($D$5-$D$6)),$E84,(RiskSlide!$A$7),($G84+BQ$3),((RiskSlide!$A$12)/260),$C84,$B84,RiskSlide!$H113)</f>
        <v>478.31562045890905</v>
      </c>
      <c r="BR84">
        <f>PnL((($D$7*(1+BR$2))+($D$5-$D$6)),$E84,(RiskSlide!$A$7),($G84+BR$3),((RiskSlide!$A$12)/260),$C84,$B84,RiskSlide!$H113)</f>
        <v>425.31515459859861</v>
      </c>
      <c r="BS84">
        <f>PnL((($D$7*(1+BS$2))+($D$5-$D$6)),$E84,(RiskSlide!$A$7),($G84+BS$3),((RiskSlide!$A$12)/260),$C84,$B84,RiskSlide!$H113)</f>
        <v>372.40727886551213</v>
      </c>
      <c r="BT84">
        <f>PnL((($D$7*(1+BT$2))+($D$5-$D$6)),$E84,(RiskSlide!$A$7),($G84+BT$3),((RiskSlide!$A$12)/260),$C84,$B84,RiskSlide!$H113)</f>
        <v>-45.440867689990228</v>
      </c>
      <c r="BU84">
        <f>PnL((($D$7*(1+BU$2))+($D$5-$D$6)),$E84,(RiskSlide!$A$7),($G84+BU$3),((RiskSlide!$A$12)/260),$C84,$B84,RiskSlide!$H113)</f>
        <v>-514.45070670838504</v>
      </c>
      <c r="BV84">
        <f>PnL((($D$7*(1+BV$2))+($D$5-$D$6)),$E84,(RiskSlide!$A$7),($G84+BV$3),((RiskSlide!$A$12)/260),$C84,$B84,RiskSlide!$H113)</f>
        <v>3915.8271958088449</v>
      </c>
      <c r="BW84">
        <f>PnL((($D$7*(1+BW$2))+($D$5-$D$6)),$E84,(RiskSlide!$A$7),($G84+BW$3),((RiskSlide!$A$12)/260),$C84,$B84,RiskSlide!$H113)</f>
        <v>3502.7890988558511</v>
      </c>
      <c r="BX84">
        <f>PnL((($D$7*(1+BX$2))+($D$5-$D$6)),$E84,(RiskSlide!$A$7),($G84+BX$3),((RiskSlide!$A$12)/260),$C84,$B84,RiskSlide!$H113)</f>
        <v>3228.5774226872718</v>
      </c>
      <c r="BY84">
        <f>PnL((($D$7*(1+BY$2))+($D$5-$D$6)),$E84,(RiskSlide!$A$7),($G84+BY$3),((RiskSlide!$A$12)/260),$C84,$B84,RiskSlide!$H113)</f>
        <v>3199.4639489002907</v>
      </c>
      <c r="BZ84">
        <f>PnL((($D$7*(1+BZ$2))+($D$5-$D$6)),$E84,(RiskSlide!$A$7),($G84+BZ$3),((RiskSlide!$A$12)/260),$C84,$B84,RiskSlide!$H113)</f>
        <v>3171.7599788055281</v>
      </c>
      <c r="CA84">
        <f>PnL((($D$7*(1+CA$2))+($D$5-$D$6)),$E84,(RiskSlide!$A$7),($G84+CA$3),((RiskSlide!$A$12)/260),$C84,$B84,RiskSlide!$H113)</f>
        <v>3145.5552836842003</v>
      </c>
      <c r="CB84">
        <f>PnL((($D$7*(1+CB$2))+($D$5-$D$6)),$E84,(RiskSlide!$A$7),($G84+CB$3),((RiskSlide!$A$12)/260),$C84,$B84,RiskSlide!$H113)</f>
        <v>3120.9421804194449</v>
      </c>
      <c r="CC84">
        <f>PnL((($D$7*(1+CC$2))+($D$5-$D$6)),$E84,(RiskSlide!$A$7),($G84+CC$3),((RiskSlide!$A$12)/260),$C84,$B84,RiskSlide!$H113)</f>
        <v>2991.2883135037305</v>
      </c>
      <c r="CD84">
        <f>PnL((($D$7*(1+CD$2))+($D$5-$D$6)),$E84,(RiskSlide!$A$7),($G84+CD$3),((RiskSlide!$A$12)/260),$C84,$B84,RiskSlide!$H113)</f>
        <v>2970.487525113856</v>
      </c>
      <c r="CE84">
        <f>PnL((($D$7*(1+CE$2))+($D$5-$D$6)),$E84,(RiskSlide!$A$7),($G84+CE$3),((RiskSlide!$A$12)/260),$C84,$B84,RiskSlide!$H113)</f>
        <v>7692.8987381282013</v>
      </c>
      <c r="CF84">
        <f>PnL((($D$7*(1+CF$2))+($D$5-$D$6)),$E84,(RiskSlide!$A$7),($G84+CF$3),((RiskSlide!$A$12)/260),$C84,$B84,RiskSlide!$H113)</f>
        <v>7513.0378677465269</v>
      </c>
      <c r="CG84">
        <f>PnL((($D$7*(1+CG$2))+($D$5-$D$6)),$E84,(RiskSlide!$A$7),($G84+CG$3),((RiskSlide!$A$12)/260),$C84,$B84,RiskSlide!$H113)</f>
        <v>7443.4191072016456</v>
      </c>
      <c r="CH84">
        <f>PnL((($D$7*(1+CH$2))+($D$5-$D$6)),$E84,(RiskSlide!$A$7),($G84+CH$3),((RiskSlide!$A$12)/260),$C84,$B84,RiskSlide!$H113)</f>
        <v>7439.0025804523475</v>
      </c>
      <c r="CI84">
        <f>PnL((($D$7*(1+CI$2))+($D$5-$D$6)),$E84,(RiskSlide!$A$7),($G84+CI$3),((RiskSlide!$A$12)/260),$C84,$B84,RiskSlide!$H113)</f>
        <v>7435.3780769097848</v>
      </c>
      <c r="CJ84">
        <f>PnL((($D$7*(1+CJ$2))+($D$5-$D$6)),$E84,(RiskSlide!$A$7),($G84+CJ$3),((RiskSlide!$A$12)/260),$C84,$B84,RiskSlide!$H113)</f>
        <v>7432.4737645805271</v>
      </c>
      <c r="CK84">
        <f>PnL((($D$7*(1+CK$2))+($D$5-$D$6)),$E84,(RiskSlide!$A$7),($G84+CK$3),((RiskSlide!$A$12)/260),$C84,$B84,RiskSlide!$H113)</f>
        <v>7430.2105366907881</v>
      </c>
      <c r="CL84">
        <f>PnL((($D$7*(1+CL$2))+($D$5-$D$6)),$E84,(RiskSlide!$A$7),($G84+CL$3),((RiskSlide!$A$12)/260),$C84,$B84,RiskSlide!$H113)</f>
        <v>7425.1616058034524</v>
      </c>
      <c r="CM84">
        <f>PnL((($D$7*(1+CM$2))+($D$5-$D$6)),$E84,(RiskSlide!$A$7),($G84+CM$3),((RiskSlide!$A$12)/260),$C84,$B84,RiskSlide!$H113)</f>
        <v>7425.1375191066018</v>
      </c>
    </row>
    <row r="85" spans="1:91" x14ac:dyDescent="0.25">
      <c r="A85" t="s">
        <v>80</v>
      </c>
      <c r="B85">
        <v>3</v>
      </c>
      <c r="C85">
        <v>0</v>
      </c>
      <c r="E85">
        <v>1780</v>
      </c>
      <c r="F85">
        <v>3.5000000000000001E-3</v>
      </c>
      <c r="G85">
        <v>0.12878300000000001</v>
      </c>
      <c r="K85">
        <f>PnL((($D$7*(1+K$2))+($D$5-$D$6)),$E85,(RiskSlide!$A$7),($G85+K$3),((RiskSlide!$A$12)/260),$C85,$B85,RiskSlide!$H114)</f>
        <v>23301.461926229837</v>
      </c>
      <c r="L85">
        <f>PnL((($D$7*(1+L$2))+($D$5-$D$6)),$E85,(RiskSlide!$A$7),($G85+L$3),((RiskSlide!$A$12)/260),$C85,$B85,RiskSlide!$H114)</f>
        <v>22965.657823838574</v>
      </c>
      <c r="M85">
        <f>PnL((($D$7*(1+M$2))+($D$5-$D$6)),$E85,(RiskSlide!$A$7),($G85+M$3),((RiskSlide!$A$12)/260),$C85,$B85,RiskSlide!$H114)</f>
        <v>22862.45644179458</v>
      </c>
      <c r="N85">
        <f>PnL((($D$7*(1+N$2))+($D$5-$D$6)),$E85,(RiskSlide!$A$7),($G85+N$3),((RiskSlide!$A$12)/260),$C85,$B85,RiskSlide!$H114)</f>
        <v>22857.306908357696</v>
      </c>
      <c r="O85">
        <f>PnL((($D$7*(1+O$2))+($D$5-$D$6)),$E85,(RiskSlide!$A$7),($G85+O$3),((RiskSlide!$A$12)/260),$C85,$B85,RiskSlide!$H114)</f>
        <v>22853.348271609793</v>
      </c>
      <c r="P85">
        <f>PnL((($D$7*(1+P$2))+($D$5-$D$6)),$E85,(RiskSlide!$A$7),($G85+P$3),((RiskSlide!$A$12)/260),$C85,$B85,RiskSlide!$H114)</f>
        <v>22850.400235337605</v>
      </c>
      <c r="Q85">
        <f>PnL((($D$7*(1+Q$2))+($D$5-$D$6)),$E85,(RiskSlide!$A$7),($G85+Q$3),((RiskSlide!$A$12)/260),$C85,$B85,RiskSlide!$H114)</f>
        <v>22848.284680519926</v>
      </c>
      <c r="R85">
        <f>PnL((($D$7*(1+R$2))+($D$5-$D$6)),$E85,(RiskSlide!$A$7),($G85+R$3),((RiskSlide!$A$12)/260),$C85,$B85,RiskSlide!$H114)</f>
        <v>22844.669007412227</v>
      </c>
      <c r="S85">
        <f>PnL((($D$7*(1+S$2))+($D$5-$D$6)),$E85,(RiskSlide!$A$7),($G85+S$3),((RiskSlide!$A$12)/260),$C85,$B85,RiskSlide!$H114)</f>
        <v>22844.664951913917</v>
      </c>
      <c r="T85">
        <f>PnL((($D$7*(1+T$2))+($D$5-$D$6)),$E85,(RiskSlide!$A$7),($G85+T$3),((RiskSlide!$A$12)/260),$C85,$B85,RiskSlide!$H114)</f>
        <v>11763.090812214097</v>
      </c>
      <c r="U85">
        <f>PnL((($D$7*(1+U$2))+($D$5-$D$6)),$E85,(RiskSlide!$A$7),($G85+U$3),((RiskSlide!$A$12)/260),$C85,$B85,RiskSlide!$H114)</f>
        <v>10685.776362082976</v>
      </c>
      <c r="V85">
        <f>PnL((($D$7*(1+V$2))+($D$5-$D$6)),$E85,(RiskSlide!$A$7),($G85+V$3),((RiskSlide!$A$12)/260),$C85,$B85,RiskSlide!$H114)</f>
        <v>10010.480846618571</v>
      </c>
      <c r="W85">
        <f>PnL((($D$7*(1+W$2))+($D$5-$D$6)),$E85,(RiskSlide!$A$7),($G85+W$3),((RiskSlide!$A$12)/260),$C85,$B85,RiskSlide!$H114)</f>
        <v>9942.4006164487255</v>
      </c>
      <c r="X85">
        <f>PnL((($D$7*(1+X$2))+($D$5-$D$6)),$E85,(RiskSlide!$A$7),($G85+X$3),((RiskSlide!$A$12)/260),$C85,$B85,RiskSlide!$H114)</f>
        <v>9878.60862232613</v>
      </c>
      <c r="Y85">
        <f>PnL((($D$7*(1+Y$2))+($D$5-$D$6)),$E85,(RiskSlide!$A$7),($G85+Y$3),((RiskSlide!$A$12)/260),$C85,$B85,RiskSlide!$H114)</f>
        <v>9819.3038632994394</v>
      </c>
      <c r="Z85">
        <f>PnL((($D$7*(1+Z$2))+($D$5-$D$6)),$E85,(RiskSlide!$A$7),($G85+Z$3),((RiskSlide!$A$12)/260),$C85,$B85,RiskSlide!$H114)</f>
        <v>9764.675768457806</v>
      </c>
      <c r="AA85">
        <f>PnL((($D$7*(1+AA$2))+($D$5-$D$6)),$E85,(RiskSlide!$A$7),($G85+AA$3),((RiskSlide!$A$12)/260),$C85,$B85,RiskSlide!$H114)</f>
        <v>9507.8341189507973</v>
      </c>
      <c r="AB85">
        <f>PnL((($D$7*(1+AB$2))+($D$5-$D$6)),$E85,(RiskSlide!$A$7),($G85+AB$3),((RiskSlide!$A$12)/260),$C85,$B85,RiskSlide!$H114)</f>
        <v>9480.7149520683706</v>
      </c>
      <c r="AC85">
        <f>PnL((($D$7*(1+AC$2))+($D$5-$D$6)),$E85,(RiskSlide!$A$7),($G85+AC$3),((RiskSlide!$A$12)/260),$C85,$B85,RiskSlide!$H114)</f>
        <v>4637.0072063335556</v>
      </c>
      <c r="AD85">
        <f>PnL((($D$7*(1+AD$2))+($D$5-$D$6)),$E85,(RiskSlide!$A$7),($G85+AD$3),((RiskSlide!$A$12)/260),$C85,$B85,RiskSlide!$H114)</f>
        <v>3061.5038060010647</v>
      </c>
      <c r="AE85">
        <f>PnL((($D$7*(1+AE$2))+($D$5-$D$6)),$E85,(RiskSlide!$A$7),($G85+AE$3),((RiskSlide!$A$12)/260),$C85,$B85,RiskSlide!$H114)</f>
        <v>1816.918990570565</v>
      </c>
      <c r="AF85">
        <f>PnL((($D$7*(1+AF$2))+($D$5-$D$6)),$E85,(RiskSlide!$A$7),($G85+AF$3),((RiskSlide!$A$12)/260),$C85,$B85,RiskSlide!$H114)</f>
        <v>1663.0323423278867</v>
      </c>
      <c r="AG85">
        <f>PnL((($D$7*(1+AG$2))+($D$5-$D$6)),$E85,(RiskSlide!$A$7),($G85+AG$3),((RiskSlide!$A$12)/260),$C85,$B85,RiskSlide!$H114)</f>
        <v>1509.6630672315598</v>
      </c>
      <c r="AH85">
        <f>PnL((($D$7*(1+AH$2))+($D$5-$D$6)),$E85,(RiskSlide!$A$7),($G85+AH$3),((RiskSlide!$A$12)/260),$C85,$B85,RiskSlide!$H114)</f>
        <v>1356.8721632962877</v>
      </c>
      <c r="AI85">
        <f>PnL((($D$7*(1+AI$2))+($D$5-$D$6)),$E85,(RiskSlide!$A$7),($G85+AI$3),((RiskSlide!$A$12)/260),$C85,$B85,RiskSlide!$H114)</f>
        <v>1204.7304255588131</v>
      </c>
      <c r="AJ85">
        <f>PnL((($D$7*(1+AJ$2))+($D$5-$D$6)),$E85,(RiskSlide!$A$7),($G85+AJ$3),((RiskSlide!$A$12)/260),$C85,$B85,RiskSlide!$H114)</f>
        <v>24.937422945748722</v>
      </c>
      <c r="AK85">
        <f>PnL((($D$7*(1+AK$2))+($D$5-$D$6)),$E85,(RiskSlide!$A$7),($G85+AK$3),((RiskSlide!$A$12)/260),$C85,$B85,RiskSlide!$H114)</f>
        <v>-1124.9042673478755</v>
      </c>
      <c r="AL85">
        <f>PnL((($D$7*(1+AL$2))+($D$5-$D$6)),$E85,(RiskSlide!$A$7),($G85+AL$3),((RiskSlide!$A$12)/260),$C85,$B85,RiskSlide!$H114)</f>
        <v>3913.1229501420535</v>
      </c>
      <c r="AM85">
        <f>PnL((($D$7*(1+AM$2))+($D$5-$D$6)),$E85,(RiskSlide!$A$7),($G85+AM$3),((RiskSlide!$A$12)/260),$C85,$B85,RiskSlide!$H114)</f>
        <v>2313.0035008811492</v>
      </c>
      <c r="AN85">
        <f>PnL((($D$7*(1+AN$2))+($D$5-$D$6)),$E85,(RiskSlide!$A$7),($G85+AN$3),((RiskSlide!$A$12)/260),$C85,$B85,RiskSlide!$H114)</f>
        <v>1038.2973125889464</v>
      </c>
      <c r="AO85">
        <f>PnL((($D$7*(1+AO$2))+($D$5-$D$6)),$E85,(RiskSlide!$A$7),($G85+AO$3),((RiskSlide!$A$12)/260),$C85,$B85,RiskSlide!$H114)</f>
        <v>879.54639862967383</v>
      </c>
      <c r="AP85">
        <f>PnL((($D$7*(1+AP$2))+($D$5-$D$6)),$E85,(RiskSlide!$A$7),($G85+AP$3),((RiskSlide!$A$12)/260),$C85,$B85,RiskSlide!$H114)</f>
        <v>720.97755909892953</v>
      </c>
      <c r="AQ85">
        <f>PnL((($D$7*(1+AQ$2))+($D$5-$D$6)),$E85,(RiskSlide!$A$7),($G85+AQ$3),((RiskSlide!$A$12)/260),$C85,$B85,RiskSlide!$H114)</f>
        <v>562.61299666589935</v>
      </c>
      <c r="AR85">
        <f>PnL((($D$7*(1+AR$2))+($D$5-$D$6)),$E85,(RiskSlide!$A$7),($G85+AR$3),((RiskSlide!$A$12)/260),$C85,$B85,RiskSlide!$H114)</f>
        <v>404.47857995542336</v>
      </c>
      <c r="AS85">
        <f>PnL((($D$7*(1+AS$2))+($D$5-$D$6)),$E85,(RiskSlide!$A$7),($G85+AS$3),((RiskSlide!$A$12)/260),$C85,$B85,RiskSlide!$H114)</f>
        <v>-847.10424309620862</v>
      </c>
      <c r="AT85">
        <f>PnL((($D$7*(1+AT$2))+($D$5-$D$6)),$E85,(RiskSlide!$A$7),($G85+AT$3),((RiskSlide!$A$12)/260),$C85,$B85,RiskSlide!$H114)</f>
        <v>-2276.6758407741863</v>
      </c>
      <c r="AU85">
        <f>PnL((($D$7*(1+AU$2))+($D$5-$D$6)),$E85,(RiskSlide!$A$7),($G85+AU$3),((RiskSlide!$A$12)/260),$C85,$B85,RiskSlide!$H114)</f>
        <v>3227.810830254316</v>
      </c>
      <c r="AV85">
        <f>PnL((($D$7*(1+AV$2))+($D$5-$D$6)),$E85,(RiskSlide!$A$7),($G85+AV$3),((RiskSlide!$A$12)/260),$C85,$B85,RiskSlide!$H114)</f>
        <v>1613.6936499831904</v>
      </c>
      <c r="AW85">
        <f>PnL((($D$7*(1+AW$2))+($D$5-$D$6)),$E85,(RiskSlide!$A$7),($G85+AW$3),((RiskSlide!$A$12)/260),$C85,$B85,RiskSlide!$H114)</f>
        <v>322.66114714655032</v>
      </c>
      <c r="AX85">
        <f>PnL((($D$7*(1+AX$2))+($D$5-$D$6)),$E85,(RiskSlide!$A$7),($G85+AX$3),((RiskSlide!$A$12)/260),$C85,$B85,RiskSlide!$H114)</f>
        <v>161.32348928929332</v>
      </c>
      <c r="AY85">
        <f>PnL((($D$7*(1+AY$2))+($D$5-$D$6)),$E85,(RiskSlide!$A$7),($G85+AY$3),((RiskSlide!$A$12)/260),$C85,$B85,RiskSlide!$H114)</f>
        <v>0</v>
      </c>
      <c r="AZ85">
        <f>PnL((($D$7*(1+AZ$2))+($D$5-$D$6)),$E85,(RiskSlide!$A$7),($G85+AZ$3),((RiskSlide!$A$12)/260),$C85,$B85,RiskSlide!$H114)</f>
        <v>-161.30721045716996</v>
      </c>
      <c r="BA85">
        <f>PnL((($D$7*(1+BA$2))+($D$5-$D$6)),$E85,(RiskSlide!$A$7),($G85+BA$3),((RiskSlide!$A$12)/260),$C85,$B85,RiskSlide!$H114)</f>
        <v>-322.59569264517722</v>
      </c>
      <c r="BB85">
        <f>PnL((($D$7*(1+BB$2))+($D$5-$D$6)),$E85,(RiskSlide!$A$7),($G85+BB$3),((RiskSlide!$A$12)/260),$C85,$B85,RiskSlide!$H114)</f>
        <v>-1611.7384620265739</v>
      </c>
      <c r="BC85">
        <f>PnL((($D$7*(1+BC$2))+($D$5-$D$6)),$E85,(RiskSlide!$A$7),($G85+BC$3),((RiskSlide!$A$12)/260),$C85,$B85,RiskSlide!$H114)</f>
        <v>-3210.0870508144853</v>
      </c>
      <c r="BD85">
        <f>PnL((($D$7*(1+BD$2))+($D$5-$D$6)),$E85,(RiskSlide!$A$7),($G85+BD$3),((RiskSlide!$A$12)/260),$C85,$B85,RiskSlide!$H114)</f>
        <v>2580.9670313560164</v>
      </c>
      <c r="BE85">
        <f>PnL((($D$7*(1+BE$2))+($D$5-$D$6)),$E85,(RiskSlide!$A$7),($G85+BE$3),((RiskSlide!$A$12)/260),$C85,$B85,RiskSlide!$H114)</f>
        <v>963.593576924319</v>
      </c>
      <c r="BF85">
        <f>PnL((($D$7*(1+BF$2))+($D$5-$D$6)),$E85,(RiskSlide!$A$7),($G85+BF$3),((RiskSlide!$A$12)/260),$C85,$B85,RiskSlide!$H114)</f>
        <v>-329.63481384612692</v>
      </c>
      <c r="BG85">
        <f>PnL((($D$7*(1+BG$2))+($D$5-$D$6)),$E85,(RiskSlide!$A$7),($G85+BG$3),((RiskSlide!$A$12)/260),$C85,$B85,RiskSlide!$H114)</f>
        <v>-491.20323388698353</v>
      </c>
      <c r="BH85">
        <f>PnL((($D$7*(1+BH$2))+($D$5-$D$6)),$E85,(RiskSlide!$A$7),($G85+BH$3),((RiskSlide!$A$12)/260),$C85,$B85,RiskSlide!$H114)</f>
        <v>-652.74400253899216</v>
      </c>
      <c r="BI85">
        <f>PnL((($D$7*(1+BI$2))+($D$5-$D$6)),$E85,(RiskSlide!$A$7),($G85+BI$3),((RiskSlide!$A$12)/260),$C85,$B85,RiskSlide!$H114)</f>
        <v>-814.25337935199309</v>
      </c>
      <c r="BJ85">
        <f>PnL((($D$7*(1+BJ$2))+($D$5-$D$6)),$E85,(RiskSlide!$A$7),($G85+BJ$3),((RiskSlide!$A$12)/260),$C85,$B85,RiskSlide!$H114)</f>
        <v>-975.72701130043242</v>
      </c>
      <c r="BK85">
        <f>PnL((($D$7*(1+BK$2))+($D$5-$D$6)),$E85,(RiskSlide!$A$7),($G85+BK$3),((RiskSlide!$A$12)/260),$C85,$B85,RiskSlide!$H114)</f>
        <v>-2265.3515361693335</v>
      </c>
      <c r="BL85">
        <f>PnL((($D$7*(1+BL$2))+($D$5-$D$6)),$E85,(RiskSlide!$A$7),($G85+BL$3),((RiskSlide!$A$12)/260),$C85,$B85,RiskSlide!$H114)</f>
        <v>-3853.7641633552539</v>
      </c>
      <c r="BM85">
        <f>PnL((($D$7*(1+BM$2))+($D$5-$D$6)),$E85,(RiskSlide!$A$7),($G85+BM$3),((RiskSlide!$A$12)/260),$C85,$B85,RiskSlide!$H114)</f>
        <v>1972.2898055322048</v>
      </c>
      <c r="BN85">
        <f>PnL((($D$7*(1+BN$2))+($D$5-$D$6)),$E85,(RiskSlide!$A$7),($G85+BN$3),((RiskSlide!$A$12)/260),$C85,$B85,RiskSlide!$H114)</f>
        <v>362.30585751363833</v>
      </c>
      <c r="BO85">
        <f>PnL((($D$7*(1+BO$2))+($D$5-$D$6)),$E85,(RiskSlide!$A$7),($G85+BO$3),((RiskSlide!$A$12)/260),$C85,$B85,RiskSlide!$H114)</f>
        <v>-919.12696860857181</v>
      </c>
      <c r="BP85">
        <f>PnL((($D$7*(1+BP$2))+($D$5-$D$6)),$E85,(RiskSlide!$A$7),($G85+BP$3),((RiskSlide!$A$12)/260),$C85,$B85,RiskSlide!$H114)</f>
        <v>-1078.5950536568578</v>
      </c>
      <c r="BQ85">
        <f>PnL((($D$7*(1+BQ$2))+($D$5-$D$6)),$E85,(RiskSlide!$A$7),($G85+BQ$3),((RiskSlide!$A$12)/260),$C85,$B85,RiskSlide!$H114)</f>
        <v>-1237.8431386232648</v>
      </c>
      <c r="BR85">
        <f>PnL((($D$7*(1+BR$2))+($D$5-$D$6)),$E85,(RiskSlide!$A$7),($G85+BR$3),((RiskSlide!$A$12)/260),$C85,$B85,RiskSlide!$H114)</f>
        <v>-1396.8445362041621</v>
      </c>
      <c r="BS85">
        <f>PnL((($D$7*(1+BS$2))+($D$5-$D$6)),$E85,(RiskSlide!$A$7),($G85+BS$3),((RiskSlide!$A$12)/260),$C85,$B85,RiskSlide!$H114)</f>
        <v>-1555.5681634034215</v>
      </c>
      <c r="BT85">
        <f>PnL((($D$7*(1+BT$2))+($D$5-$D$6)),$E85,(RiskSlide!$A$7),($G85+BT$3),((RiskSlide!$A$12)/260),$C85,$B85,RiskSlide!$H114)</f>
        <v>-2809.1126030699288</v>
      </c>
      <c r="BU85">
        <f>PnL((($D$7*(1+BU$2))+($D$5-$D$6)),$E85,(RiskSlide!$A$7),($G85+BU$3),((RiskSlide!$A$12)/260),$C85,$B85,RiskSlide!$H114)</f>
        <v>-4216.1421201251642</v>
      </c>
      <c r="BV85">
        <f>PnL((($D$7*(1+BV$2))+($D$5-$D$6)),$E85,(RiskSlide!$A$7),($G85+BV$3),((RiskSlide!$A$12)/260),$C85,$B85,RiskSlide!$H114)</f>
        <v>-1616.4684125734511</v>
      </c>
      <c r="BW85">
        <f>PnL((($D$7*(1+BW$2))+($D$5-$D$6)),$E85,(RiskSlide!$A$7),($G85+BW$3),((RiskSlide!$A$12)/260),$C85,$B85,RiskSlide!$H114)</f>
        <v>-2855.5827034324411</v>
      </c>
      <c r="BX85">
        <f>PnL((($D$7*(1+BX$2))+($D$5-$D$6)),$E85,(RiskSlide!$A$7),($G85+BX$3),((RiskSlide!$A$12)/260),$C85,$B85,RiskSlide!$H114)</f>
        <v>-3678.2177319381531</v>
      </c>
      <c r="BY85">
        <f>PnL((($D$7*(1+BY$2))+($D$5-$D$6)),$E85,(RiskSlide!$A$7),($G85+BY$3),((RiskSlide!$A$12)/260),$C85,$B85,RiskSlide!$H114)</f>
        <v>-3765.5581532991218</v>
      </c>
      <c r="BZ85">
        <f>PnL((($D$7*(1+BZ$2))+($D$5-$D$6)),$E85,(RiskSlide!$A$7),($G85+BZ$3),((RiskSlide!$A$12)/260),$C85,$B85,RiskSlide!$H114)</f>
        <v>-3848.6700635834013</v>
      </c>
      <c r="CA85">
        <f>PnL((($D$7*(1+CA$2))+($D$5-$D$6)),$E85,(RiskSlide!$A$7),($G85+CA$3),((RiskSlide!$A$12)/260),$C85,$B85,RiskSlide!$H114)</f>
        <v>-3927.2841489473335</v>
      </c>
      <c r="CB85">
        <f>PnL((($D$7*(1+CB$2))+($D$5-$D$6)),$E85,(RiskSlide!$A$7),($G85+CB$3),((RiskSlide!$A$12)/260),$C85,$B85,RiskSlide!$H114)</f>
        <v>-4001.1234587416338</v>
      </c>
      <c r="CC85">
        <f>PnL((($D$7*(1+CC$2))+($D$5-$D$6)),$E85,(RiskSlide!$A$7),($G85+CC$3),((RiskSlide!$A$12)/260),$C85,$B85,RiskSlide!$H114)</f>
        <v>-4390.0850594887988</v>
      </c>
      <c r="CD85">
        <f>PnL((($D$7*(1+CD$2))+($D$5-$D$6)),$E85,(RiskSlide!$A$7),($G85+CD$3),((RiskSlide!$A$12)/260),$C85,$B85,RiskSlide!$H114)</f>
        <v>-4452.4874246583995</v>
      </c>
      <c r="CE85">
        <f>PnL((($D$7*(1+CE$2))+($D$5-$D$6)),$E85,(RiskSlide!$A$7),($G85+CE$3),((RiskSlide!$A$12)/260),$C85,$B85,RiskSlide!$H114)</f>
        <v>-3649.2037856153929</v>
      </c>
      <c r="CF85">
        <f>PnL((($D$7*(1+CF$2))+($D$5-$D$6)),$E85,(RiskSlide!$A$7),($G85+CF$3),((RiskSlide!$A$12)/260),$C85,$B85,RiskSlide!$H114)</f>
        <v>-4188.7863967604044</v>
      </c>
      <c r="CG85">
        <f>PnL((($D$7*(1+CG$2))+($D$5-$D$6)),$E85,(RiskSlide!$A$7),($G85+CG$3),((RiskSlide!$A$12)/260),$C85,$B85,RiskSlide!$H114)</f>
        <v>-4397.6426783950583</v>
      </c>
      <c r="CH85">
        <f>PnL((($D$7*(1+CH$2))+($D$5-$D$6)),$E85,(RiskSlide!$A$7),($G85+CH$3),((RiskSlide!$A$12)/260),$C85,$B85,RiskSlide!$H114)</f>
        <v>-4410.8922586429717</v>
      </c>
      <c r="CI85">
        <f>PnL((($D$7*(1+CI$2))+($D$5-$D$6)),$E85,(RiskSlide!$A$7),($G85+CI$3),((RiskSlide!$A$12)/260),$C85,$B85,RiskSlide!$H114)</f>
        <v>-4421.7657692706289</v>
      </c>
      <c r="CJ85">
        <f>PnL((($D$7*(1+CJ$2))+($D$5-$D$6)),$E85,(RiskSlide!$A$7),($G85+CJ$3),((RiskSlide!$A$12)/260),$C85,$B85,RiskSlide!$H114)</f>
        <v>-4430.4787062584301</v>
      </c>
      <c r="CK85">
        <f>PnL((($D$7*(1+CK$2))+($D$5-$D$6)),$E85,(RiskSlide!$A$7),($G85+CK$3),((RiskSlide!$A$12)/260),$C85,$B85,RiskSlide!$H114)</f>
        <v>-4437.268389927598</v>
      </c>
      <c r="CL85">
        <f>PnL((($D$7*(1+CL$2))+($D$5-$D$6)),$E85,(RiskSlide!$A$7),($G85+CL$3),((RiskSlide!$A$12)/260),$C85,$B85,RiskSlide!$H114)</f>
        <v>-4452.4151825896442</v>
      </c>
      <c r="CM85">
        <f>PnL((($D$7*(1+CM$2))+($D$5-$D$6)),$E85,(RiskSlide!$A$7),($G85+CM$3),((RiskSlide!$A$12)/260),$C85,$B85,RiskSlide!$H114)</f>
        <v>-4452.4874426801998</v>
      </c>
    </row>
    <row r="86" spans="1:91" x14ac:dyDescent="0.25">
      <c r="A86" t="s">
        <v>81</v>
      </c>
      <c r="B86">
        <v>-1</v>
      </c>
      <c r="C86">
        <v>1</v>
      </c>
      <c r="E86">
        <v>1785</v>
      </c>
      <c r="F86">
        <v>3.5000000000000001E-3</v>
      </c>
      <c r="G86">
        <v>0.126551</v>
      </c>
      <c r="K86">
        <f>PnL((($D$7*(1+K$2))+($D$5-$D$6)),$E86,(RiskSlide!$A$7),($G86+K$3),((RiskSlide!$A$12)/260),$C86,$B86,RiskSlide!$H115)</f>
        <v>1024.0971359432926</v>
      </c>
      <c r="L86">
        <f>PnL((($D$7*(1+L$2))+($D$5-$D$6)),$E86,(RiskSlide!$A$7),($G86+L$3),((RiskSlide!$A$12)/260),$C86,$B86,RiskSlide!$H115)</f>
        <v>1124.1533266229708</v>
      </c>
      <c r="M86">
        <f>PnL((($D$7*(1+M$2))+($D$5-$D$6)),$E86,(RiskSlide!$A$7),($G86+M$3),((RiskSlide!$A$12)/260),$C86,$B86,RiskSlide!$H115)</f>
        <v>1152.3963707165972</v>
      </c>
      <c r="N86">
        <f>PnL((($D$7*(1+N$2))+($D$5-$D$6)),$E86,(RiskSlide!$A$7),($G86+N$3),((RiskSlide!$A$12)/260),$C86,$B86,RiskSlide!$H115)</f>
        <v>1153.6718776972514</v>
      </c>
      <c r="O86">
        <f>PnL((($D$7*(1+O$2))+($D$5-$D$6)),$E86,(RiskSlide!$A$7),($G86+O$3),((RiskSlide!$A$12)/260),$C86,$B86,RiskSlide!$H115)</f>
        <v>1154.6252256218309</v>
      </c>
      <c r="P86">
        <f>PnL((($D$7*(1+P$2))+($D$5-$D$6)),$E86,(RiskSlide!$A$7),($G86+P$3),((RiskSlide!$A$12)/260),$C86,$B86,RiskSlide!$H115)</f>
        <v>1155.3127413601283</v>
      </c>
      <c r="Q86">
        <f>PnL((($D$7*(1+Q$2))+($D$5-$D$6)),$E86,(RiskSlide!$A$7),($G86+Q$3),((RiskSlide!$A$12)/260),$C86,$B86,RiskSlide!$H115)</f>
        <v>1155.7882212614641</v>
      </c>
      <c r="R86">
        <f>PnL((($D$7*(1+R$2))+($D$5-$D$6)),$E86,(RiskSlide!$A$7),($G86+R$3),((RiskSlide!$A$12)/260),$C86,$B86,RiskSlide!$H115)</f>
        <v>1156.5149031805759</v>
      </c>
      <c r="S86">
        <f>PnL((($D$7*(1+S$2))+($D$5-$D$6)),$E86,(RiskSlide!$A$7),($G86+S$3),((RiskSlide!$A$12)/260),$C86,$B86,RiskSlide!$H115)</f>
        <v>1156.5152745183923</v>
      </c>
      <c r="T86">
        <f>PnL((($D$7*(1+T$2))+($D$5-$D$6)),$E86,(RiskSlide!$A$7),($G86+T$3),((RiskSlide!$A$12)/260),$C86,$B86,RiskSlide!$H115)</f>
        <v>463.60943699900474</v>
      </c>
      <c r="U86">
        <f>PnL((($D$7*(1+U$2))+($D$5-$D$6)),$E86,(RiskSlide!$A$7),($G86+U$3),((RiskSlide!$A$12)/260),$C86,$B86,RiskSlide!$H115)</f>
        <v>805.69987090562313</v>
      </c>
      <c r="V86">
        <f>PnL((($D$7*(1+V$2))+($D$5-$D$6)),$E86,(RiskSlide!$A$7),($G86+V$3),((RiskSlide!$A$12)/260),$C86,$B86,RiskSlide!$H115)</f>
        <v>1012.4862359954079</v>
      </c>
      <c r="W86">
        <f>PnL((($D$7*(1+W$2))+($D$5-$D$6)),$E86,(RiskSlide!$A$7),($G86+W$3),((RiskSlide!$A$12)/260),$C86,$B86,RiskSlide!$H115)</f>
        <v>1032.6181280518042</v>
      </c>
      <c r="X86">
        <f>PnL((($D$7*(1+X$2))+($D$5-$D$6)),$E86,(RiskSlide!$A$7),($G86+X$3),((RiskSlide!$A$12)/260),$C86,$B86,RiskSlide!$H115)</f>
        <v>1051.2809334181575</v>
      </c>
      <c r="Y86">
        <f>PnL((($D$7*(1+Y$2))+($D$5-$D$6)),$E86,(RiskSlide!$A$7),($G86+Y$3),((RiskSlide!$A$12)/260),$C86,$B86,RiskSlide!$H115)</f>
        <v>1068.4209685669416</v>
      </c>
      <c r="Z86">
        <f>PnL((($D$7*(1+Z$2))+($D$5-$D$6)),$E86,(RiskSlide!$A$7),($G86+Z$3),((RiskSlide!$A$12)/260),$C86,$B86,RiskSlide!$H115)</f>
        <v>1083.991168923854</v>
      </c>
      <c r="AA86">
        <f>PnL((($D$7*(1+AA$2))+($D$5-$D$6)),$E86,(RiskSlide!$A$7),($G86+AA$3),((RiskSlide!$A$12)/260),$C86,$B86,RiskSlide!$H115)</f>
        <v>1151.4387422961936</v>
      </c>
      <c r="AB86">
        <f>PnL((($D$7*(1+AB$2))+($D$5-$D$6)),$E86,(RiskSlide!$A$7),($G86+AB$3),((RiskSlide!$A$12)/260),$C86,$B86,RiskSlide!$H115)</f>
        <v>1156.5152745182636</v>
      </c>
      <c r="AC86">
        <f>PnL((($D$7*(1+AC$2))+($D$5-$D$6)),$E86,(RiskSlide!$A$7),($G86+AC$3),((RiskSlide!$A$12)/260),$C86,$B86,RiskSlide!$H115)</f>
        <v>-667.09484298742154</v>
      </c>
      <c r="AD86">
        <f>PnL((($D$7*(1+AD$2))+($D$5-$D$6)),$E86,(RiskSlide!$A$7),($G86+AD$3),((RiskSlide!$A$12)/260),$C86,$B86,RiskSlide!$H115)</f>
        <v>-146.82953848192142</v>
      </c>
      <c r="AE86">
        <f>PnL((($D$7*(1+AE$2))+($D$5-$D$6)),$E86,(RiskSlide!$A$7),($G86+AE$3),((RiskSlide!$A$12)/260),$C86,$B86,RiskSlide!$H115)</f>
        <v>261.16293462654312</v>
      </c>
      <c r="AF86">
        <f>PnL((($D$7*(1+AF$2))+($D$5-$D$6)),$E86,(RiskSlide!$A$7),($G86+AF$3),((RiskSlide!$A$12)/260),$C86,$B86,RiskSlide!$H115)</f>
        <v>311.28716727402548</v>
      </c>
      <c r="AG86">
        <f>PnL((($D$7*(1+AG$2))+($D$5-$D$6)),$E86,(RiskSlide!$A$7),($G86+AG$3),((RiskSlide!$A$12)/260),$C86,$B86,RiskSlide!$H115)</f>
        <v>361.14324347173579</v>
      </c>
      <c r="AH86">
        <f>PnL((($D$7*(1+AH$2))+($D$5-$D$6)),$E86,(RiskSlide!$A$7),($G86+AH$3),((RiskSlide!$A$12)/260),$C86,$B86,RiskSlide!$H115)</f>
        <v>410.69966322808682</v>
      </c>
      <c r="AI86">
        <f>PnL((($D$7*(1+AI$2))+($D$5-$D$6)),$E86,(RiskSlide!$A$7),($G86+AI$3),((RiskSlide!$A$12)/260),$C86,$B86,RiskSlide!$H115)</f>
        <v>459.91990679205514</v>
      </c>
      <c r="AJ86">
        <f>PnL((($D$7*(1+AJ$2))+($D$5-$D$6)),$E86,(RiskSlide!$A$7),($G86+AJ$3),((RiskSlide!$A$12)/260),$C86,$B86,RiskSlide!$H115)</f>
        <v>834.42724466091249</v>
      </c>
      <c r="AK86">
        <f>PnL((($D$7*(1+AK$2))+($D$5-$D$6)),$E86,(RiskSlide!$A$7),($G86+AK$3),((RiskSlide!$A$12)/260),$C86,$B86,RiskSlide!$H115)</f>
        <v>1147.8198081353703</v>
      </c>
      <c r="AL86">
        <f>PnL((($D$7*(1+AL$2))+($D$5-$D$6)),$E86,(RiskSlide!$A$7),($G86+AL$3),((RiskSlide!$A$12)/260),$C86,$B86,RiskSlide!$H115)</f>
        <v>-863.78024346586812</v>
      </c>
      <c r="AM86">
        <f>PnL((($D$7*(1+AM$2))+($D$5-$D$6)),$E86,(RiskSlide!$A$7),($G86+AM$3),((RiskSlide!$A$12)/260),$C86,$B86,RiskSlide!$H115)</f>
        <v>-333.19928195739408</v>
      </c>
      <c r="AN86">
        <f>PnL((($D$7*(1+AN$2))+($D$5-$D$6)),$E86,(RiskSlide!$A$7),($G86+AN$3),((RiskSlide!$A$12)/260),$C86,$B86,RiskSlide!$H115)</f>
        <v>87.596140577591086</v>
      </c>
      <c r="AO86">
        <f>PnL((($D$7*(1+AO$2))+($D$5-$D$6)),$E86,(RiskSlide!$A$7),($G86+AO$3),((RiskSlide!$A$12)/260),$C86,$B86,RiskSlide!$H115)</f>
        <v>139.7989856629863</v>
      </c>
      <c r="AP86">
        <f>PnL((($D$7*(1+AP$2))+($D$5-$D$6)),$E86,(RiskSlide!$A$7),($G86+AP$3),((RiskSlide!$A$12)/260),$C86,$B86,RiskSlide!$H115)</f>
        <v>191.87912399651736</v>
      </c>
      <c r="AQ86">
        <f>PnL((($D$7*(1+AQ$2))+($D$5-$D$6)),$E86,(RiskSlide!$A$7),($G86+AQ$3),((RiskSlide!$A$12)/260),$C86,$B86,RiskSlide!$H115)</f>
        <v>243.82163019787981</v>
      </c>
      <c r="AR86">
        <f>PnL((($D$7*(1+AR$2))+($D$5-$D$6)),$E86,(RiskSlide!$A$7),($G86+AR$3),((RiskSlide!$A$12)/260),$C86,$B86,RiskSlide!$H115)</f>
        <v>295.6091015626896</v>
      </c>
      <c r="AS86">
        <f>PnL((($D$7*(1+AS$2))+($D$5-$D$6)),$E86,(RiskSlide!$A$7),($G86+AS$3),((RiskSlide!$A$12)/260),$C86,$B86,RiskSlide!$H115)</f>
        <v>700.82083576620562</v>
      </c>
      <c r="AT86">
        <f>PnL((($D$7*(1+AT$2))+($D$5-$D$6)),$E86,(RiskSlide!$A$7),($G86+AT$3),((RiskSlide!$A$12)/260),$C86,$B86,RiskSlide!$H115)</f>
        <v>1119.2126824275392</v>
      </c>
      <c r="AU86">
        <f>PnL((($D$7*(1+AU$2))+($D$5-$D$6)),$E86,(RiskSlide!$A$7),($G86+AU$3),((RiskSlide!$A$12)/260),$C86,$B86,RiskSlide!$H115)</f>
        <v>-1073.400800495159</v>
      </c>
      <c r="AV86">
        <f>PnL((($D$7*(1+AV$2))+($D$5-$D$6)),$E86,(RiskSlide!$A$7),($G86+AV$3),((RiskSlide!$A$12)/260),$C86,$B86,RiskSlide!$H115)</f>
        <v>-536.05440344292674</v>
      </c>
      <c r="AW86">
        <f>PnL((($D$7*(1+AW$2))+($D$5-$D$6)),$E86,(RiskSlide!$A$7),($G86+AW$3),((RiskSlide!$A$12)/260),$C86,$B86,RiskSlide!$H115)</f>
        <v>-107.03241543666877</v>
      </c>
      <c r="AX86">
        <f>PnL((($D$7*(1+AX$2))+($D$5-$D$6)),$E86,(RiskSlide!$A$7),($G86+AX$3),((RiskSlide!$A$12)/260),$C86,$B86,RiskSlide!$H115)</f>
        <v>-53.501054475674437</v>
      </c>
      <c r="AY86">
        <f>PnL((($D$7*(1+AY$2))+($D$5-$D$6)),$E86,(RiskSlide!$A$7),($G86+AY$3),((RiskSlide!$A$12)/260),$C86,$B86,RiskSlide!$H115)</f>
        <v>0</v>
      </c>
      <c r="AZ86">
        <f>PnL((($D$7*(1+AZ$2))+($D$5-$D$6)),$E86,(RiskSlide!$A$7),($G86+AZ$3),((RiskSlide!$A$12)/260),$C86,$B86,RiskSlide!$H115)</f>
        <v>53.466897516875633</v>
      </c>
      <c r="BA86">
        <f>PnL((($D$7*(1+BA$2))+($D$5-$D$6)),$E86,(RiskSlide!$A$7),($G86+BA$3),((RiskSlide!$A$12)/260),$C86,$B86,RiskSlide!$H115)</f>
        <v>106.89513711892005</v>
      </c>
      <c r="BB86">
        <f>PnL((($D$7*(1+BB$2))+($D$5-$D$6)),$E86,(RiskSlide!$A$7),($G86+BB$3),((RiskSlide!$A$12)/260),$C86,$B86,RiskSlide!$H115)</f>
        <v>532.00890254121305</v>
      </c>
      <c r="BC86">
        <f>PnL((($D$7*(1+BC$2))+($D$5-$D$6)),$E86,(RiskSlide!$A$7),($G86+BC$3),((RiskSlide!$A$12)/260),$C86,$B86,RiskSlide!$H115)</f>
        <v>1037.8391649493153</v>
      </c>
      <c r="BD86">
        <f>PnL((($D$7*(1+BD$2))+($D$5-$D$6)),$E86,(RiskSlide!$A$7),($G86+BD$3),((RiskSlide!$A$12)/260),$C86,$B86,RiskSlide!$H115)</f>
        <v>-1295.9613842538147</v>
      </c>
      <c r="BE86">
        <f>PnL((($D$7*(1+BE$2))+($D$5-$D$6)),$E86,(RiskSlide!$A$7),($G86+BE$3),((RiskSlide!$A$12)/260),$C86,$B86,RiskSlide!$H115)</f>
        <v>-755.48567637267752</v>
      </c>
      <c r="BF86">
        <f>PnL((($D$7*(1+BF$2))+($D$5-$D$6)),$E86,(RiskSlide!$A$7),($G86+BF$3),((RiskSlide!$A$12)/260),$C86,$B86,RiskSlide!$H115)</f>
        <v>-323.02449597929694</v>
      </c>
      <c r="BG86">
        <f>PnL((($D$7*(1+BG$2))+($D$5-$D$6)),$E86,(RiskSlide!$A$7),($G86+BG$3),((RiskSlide!$A$12)/260),$C86,$B86,RiskSlide!$H115)</f>
        <v>-268.96270561163647</v>
      </c>
      <c r="BH86">
        <f>PnL((($D$7*(1+BH$2))+($D$5-$D$6)),$E86,(RiskSlide!$A$7),($G86+BH$3),((RiskSlide!$A$12)/260),$C86,$B86,RiskSlide!$H115)</f>
        <v>-214.90010006982061</v>
      </c>
      <c r="BI86">
        <f>PnL((($D$7*(1+BI$2))+($D$5-$D$6)),$E86,(RiskSlide!$A$7),($G86+BI$3),((RiskSlide!$A$12)/260),$C86,$B86,RiskSlide!$H115)</f>
        <v>-160.836711202586</v>
      </c>
      <c r="BJ86">
        <f>PnL((($D$7*(1+BJ$2))+($D$5-$D$6)),$E86,(RiskSlide!$A$7),($G86+BJ$3),((RiskSlide!$A$12)/260),$C86,$B86,RiskSlide!$H115)</f>
        <v>-106.7725709751187</v>
      </c>
      <c r="BK86">
        <f>PnL((($D$7*(1+BK$2))+($D$5-$D$6)),$E86,(RiskSlide!$A$7),($G86+BK$3),((RiskSlide!$A$12)/260),$C86,$B86,RiskSlide!$H115)</f>
        <v>325.76369583719611</v>
      </c>
      <c r="BL86">
        <f>PnL((($D$7*(1+BL$2))+($D$5-$D$6)),$E86,(RiskSlide!$A$7),($G86+BL$3),((RiskSlide!$A$12)/260),$C86,$B86,RiskSlide!$H115)</f>
        <v>866.47044613640105</v>
      </c>
      <c r="BM86">
        <f>PnL((($D$7*(1+BM$2))+($D$5-$D$6)),$E86,(RiskSlide!$A$7),($G86+BM$3),((RiskSlide!$A$12)/260),$C86,$B86,RiskSlide!$H115)</f>
        <v>-1531.3984664691077</v>
      </c>
      <c r="BN86">
        <f>PnL((($D$7*(1+BN$2))+($D$5-$D$6)),$E86,(RiskSlide!$A$7),($G86+BN$3),((RiskSlide!$A$12)/260),$C86,$B86,RiskSlide!$H115)</f>
        <v>-991.4392860024293</v>
      </c>
      <c r="BO86">
        <f>PnL((($D$7*(1+BO$2))+($D$5-$D$6)),$E86,(RiskSlide!$A$7),($G86+BO$3),((RiskSlide!$A$12)/260),$C86,$B86,RiskSlide!$H115)</f>
        <v>-560.37155131278951</v>
      </c>
      <c r="BP86">
        <f>PnL((($D$7*(1+BP$2))+($D$5-$D$6)),$E86,(RiskSlide!$A$7),($G86+BP$3),((RiskSlide!$A$12)/260),$C86,$B86,RiskSlide!$H115)</f>
        <v>-506.58926582179902</v>
      </c>
      <c r="BQ86">
        <f>PnL((($D$7*(1+BQ$2))+($D$5-$D$6)),$E86,(RiskSlide!$A$7),($G86+BQ$3),((RiskSlide!$A$12)/260),$C86,$B86,RiskSlide!$H115)</f>
        <v>-452.8387712782262</v>
      </c>
      <c r="BR86">
        <f>PnL((($D$7*(1+BR$2))+($D$5-$D$6)),$E86,(RiskSlide!$A$7),($G86+BR$3),((RiskSlide!$A$12)/260),$C86,$B86,RiskSlide!$H115)</f>
        <v>-399.1241000008813</v>
      </c>
      <c r="BS86">
        <f>PnL((($D$7*(1+BS$2))+($D$5-$D$6)),$E86,(RiskSlide!$A$7),($G86+BS$3),((RiskSlide!$A$12)/260),$C86,$B86,RiskSlide!$H115)</f>
        <v>-345.44996551321105</v>
      </c>
      <c r="BT86">
        <f>PnL((($D$7*(1+BT$2))+($D$5-$D$6)),$E86,(RiskSlide!$A$7),($G86+BT$3),((RiskSlide!$A$12)/260),$C86,$B86,RiskSlide!$H115)</f>
        <v>81.51996259363159</v>
      </c>
      <c r="BU86">
        <f>PnL((($D$7*(1+BU$2))+($D$5-$D$6)),$E86,(RiskSlide!$A$7),($G86+BU$3),((RiskSlide!$A$12)/260),$C86,$B86,RiskSlide!$H115)</f>
        <v>588.50149044192221</v>
      </c>
      <c r="BV86">
        <f>PnL((($D$7*(1+BV$2))+($D$5-$D$6)),$E86,(RiskSlide!$A$7),($G86+BV$3),((RiskSlide!$A$12)/260),$C86,$B86,RiskSlide!$H115)</f>
        <v>-3850.6632125070155</v>
      </c>
      <c r="BW86">
        <f>PnL((($D$7*(1+BW$2))+($D$5-$D$6)),$E86,(RiskSlide!$A$7),($G86+BW$3),((RiskSlide!$A$12)/260),$C86,$B86,RiskSlide!$H115)</f>
        <v>-3425.3810777508988</v>
      </c>
      <c r="BX86">
        <f>PnL((($D$7*(1+BX$2))+($D$5-$D$6)),$E86,(RiskSlide!$A$7),($G86+BX$3),((RiskSlide!$A$12)/260),$C86,$B86,RiskSlide!$H115)</f>
        <v>-3138.7409857771445</v>
      </c>
      <c r="BY86">
        <f>PnL((($D$7*(1+BY$2))+($D$5-$D$6)),$E86,(RiskSlide!$A$7),($G86+BY$3),((RiskSlide!$A$12)/260),$C86,$B86,RiskSlide!$H115)</f>
        <v>-3107.9275973659492</v>
      </c>
      <c r="BZ86">
        <f>PnL((($D$7*(1+BZ$2))+($D$5-$D$6)),$E86,(RiskSlide!$A$7),($G86+BZ$3),((RiskSlide!$A$12)/260),$C86,$B86,RiskSlide!$H115)</f>
        <v>-3078.5033586467875</v>
      </c>
      <c r="CA86">
        <f>PnL((($D$7*(1+CA$2))+($D$5-$D$6)),$E86,(RiskSlide!$A$7),($G86+CA$3),((RiskSlide!$A$12)/260),$C86,$B86,RiskSlide!$H115)</f>
        <v>-3050.5651030147533</v>
      </c>
      <c r="CB86">
        <f>PnL((($D$7*(1+CB$2))+($D$5-$D$6)),$E86,(RiskSlide!$A$7),($G86+CB$3),((RiskSlide!$A$12)/260),$C86,$B86,RiskSlide!$H115)</f>
        <v>-3024.2140445795485</v>
      </c>
      <c r="CC86">
        <f>PnL((($D$7*(1+CC$2))+($D$5-$D$6)),$E86,(RiskSlide!$A$7),($G86+CC$3),((RiskSlide!$A$12)/260),$C86,$B86,RiskSlide!$H115)</f>
        <v>-2882.3690407210165</v>
      </c>
      <c r="CD86">
        <f>PnL((($D$7*(1+CD$2))+($D$5-$D$6)),$E86,(RiskSlide!$A$7),($G86+CD$3),((RiskSlide!$A$12)/260),$C86,$B86,RiskSlide!$H115)</f>
        <v>-2858.464686550451</v>
      </c>
      <c r="CE86">
        <f>PnL((($D$7*(1+CE$2))+($D$5-$D$6)),$E86,(RiskSlide!$A$7),($G86+CE$3),((RiskSlide!$A$12)/260),$C86,$B86,RiskSlide!$H115)</f>
        <v>-7594.8111540119844</v>
      </c>
      <c r="CF86">
        <f>PnL((($D$7*(1+CF$2))+($D$5-$D$6)),$E86,(RiskSlide!$A$7),($G86+CF$3),((RiskSlide!$A$12)/260),$C86,$B86,RiskSlide!$H115)</f>
        <v>-7406.7684182457579</v>
      </c>
      <c r="CG86">
        <f>PnL((($D$7*(1+CG$2))+($D$5-$D$6)),$E86,(RiskSlide!$A$7),($G86+CG$3),((RiskSlide!$A$12)/260),$C86,$B86,RiskSlide!$H115)</f>
        <v>-7332.8099350200882</v>
      </c>
      <c r="CH86">
        <f>PnL((($D$7*(1+CH$2))+($D$5-$D$6)),$E86,(RiskSlide!$A$7),($G86+CH$3),((RiskSlide!$A$12)/260),$C86,$B86,RiskSlide!$H115)</f>
        <v>-7328.0660331767876</v>
      </c>
      <c r="CI86">
        <f>PnL((($D$7*(1+CI$2))+($D$5-$D$6)),$E86,(RiskSlide!$A$7),($G86+CI$3),((RiskSlide!$A$12)/260),$C86,$B86,RiskSlide!$H115)</f>
        <v>-7324.1648840337457</v>
      </c>
      <c r="CJ86">
        <f>PnL((($D$7*(1+CJ$2))+($D$5-$D$6)),$E86,(RiskSlide!$A$7),($G86+CJ$3),((RiskSlide!$A$12)/260),$C86,$B86,RiskSlide!$H115)</f>
        <v>-7321.0330714133761</v>
      </c>
      <c r="CK86">
        <f>PnL((($D$7*(1+CK$2))+($D$5-$D$6)),$E86,(RiskSlide!$A$7),($G86+CK$3),((RiskSlide!$A$12)/260),$C86,$B86,RiskSlide!$H115)</f>
        <v>-7318.5887323289762</v>
      </c>
      <c r="CL86">
        <f>PnL((($D$7*(1+CL$2))+($D$5-$D$6)),$E86,(RiskSlide!$A$7),($G86+CL$3),((RiskSlide!$A$12)/260),$C86,$B86,RiskSlide!$H115)</f>
        <v>-7313.1388147514026</v>
      </c>
      <c r="CM86">
        <f>PnL((($D$7*(1+CM$2))+($D$5-$D$6)),$E86,(RiskSlide!$A$7),($G86+CM$3),((RiskSlide!$A$12)/260),$C86,$B86,RiskSlide!$H115)</f>
        <v>-7313.1146834684041</v>
      </c>
    </row>
    <row r="87" spans="1:91" x14ac:dyDescent="0.25">
      <c r="A87" t="s">
        <v>82</v>
      </c>
      <c r="B87">
        <v>-1</v>
      </c>
      <c r="C87">
        <v>1</v>
      </c>
      <c r="E87">
        <v>1790</v>
      </c>
      <c r="F87">
        <v>3.5000000000000001E-3</v>
      </c>
      <c r="G87">
        <v>0.124372</v>
      </c>
      <c r="K87">
        <f>PnL((($D$7*(1+K$2))+($D$5-$D$6)),$E87,(RiskSlide!$A$7),($G87+K$3),((RiskSlide!$A$12)/260),$C87,$B87,RiskSlide!$H116)</f>
        <v>912.02808675883489</v>
      </c>
      <c r="L87">
        <f>PnL((($D$7*(1+L$2))+($D$5-$D$6)),$E87,(RiskSlide!$A$7),($G87+L$3),((RiskSlide!$A$12)/260),$C87,$B87,RiskSlide!$H116)</f>
        <v>1000.9913052184266</v>
      </c>
      <c r="M87">
        <f>PnL((($D$7*(1+M$2))+($D$5-$D$6)),$E87,(RiskSlide!$A$7),($G87+M$3),((RiskSlide!$A$12)/260),$C87,$B87,RiskSlide!$H116)</f>
        <v>1023.9395688931454</v>
      </c>
      <c r="N87">
        <f>PnL((($D$7*(1+N$2))+($D$5-$D$6)),$E87,(RiskSlide!$A$7),($G87+N$3),((RiskSlide!$A$12)/260),$C87,$B87,RiskSlide!$H116)</f>
        <v>1024.8690800193053</v>
      </c>
      <c r="O87">
        <f>PnL((($D$7*(1+O$2))+($D$5-$D$6)),$E87,(RiskSlide!$A$7),($G87+O$3),((RiskSlide!$A$12)/260),$C87,$B87,RiskSlide!$H116)</f>
        <v>1025.5429305269154</v>
      </c>
      <c r="P87">
        <f>PnL((($D$7*(1+P$2))+($D$5-$D$6)),$E87,(RiskSlide!$A$7),($G87+P$3),((RiskSlide!$A$12)/260),$C87,$B87,RiskSlide!$H116)</f>
        <v>1026.0121777826851</v>
      </c>
      <c r="Q87">
        <f>PnL((($D$7*(1+Q$2))+($D$5-$D$6)),$E87,(RiskSlide!$A$7),($G87+Q$3),((RiskSlide!$A$12)/260),$C87,$B87,RiskSlide!$H116)</f>
        <v>1026.3238817027752</v>
      </c>
      <c r="R87">
        <f>PnL((($D$7*(1+R$2))+($D$5-$D$6)),$E87,(RiskSlide!$A$7),($G87+R$3),((RiskSlide!$A$12)/260),$C87,$B87,RiskSlide!$H116)</f>
        <v>1026.7489803992755</v>
      </c>
      <c r="S87">
        <f>PnL((($D$7*(1+S$2))+($D$5-$D$6)),$E87,(RiskSlide!$A$7),($G87+S$3),((RiskSlide!$A$12)/260),$C87,$B87,RiskSlide!$H116)</f>
        <v>1026.7490708841535</v>
      </c>
      <c r="T87">
        <f>PnL((($D$7*(1+T$2))+($D$5-$D$6)),$E87,(RiskSlide!$A$7),($G87+T$3),((RiskSlide!$A$12)/260),$C87,$B87,RiskSlide!$H116)</f>
        <v>397.3483925183416</v>
      </c>
      <c r="U87">
        <f>PnL((($D$7*(1+U$2))+($D$5-$D$6)),$E87,(RiskSlide!$A$7),($G87+U$3),((RiskSlide!$A$12)/260),$C87,$B87,RiskSlide!$H116)</f>
        <v>721.96534564683498</v>
      </c>
      <c r="V87">
        <f>PnL((($D$7*(1+V$2))+($D$5-$D$6)),$E87,(RiskSlide!$A$7),($G87+V$3),((RiskSlide!$A$12)/260),$C87,$B87,RiskSlide!$H116)</f>
        <v>910.52726820802548</v>
      </c>
      <c r="W87">
        <f>PnL((($D$7*(1+W$2))+($D$5-$D$6)),$E87,(RiskSlide!$A$7),($G87+W$3),((RiskSlide!$A$12)/260),$C87,$B87,RiskSlide!$H116)</f>
        <v>928.18205858356748</v>
      </c>
      <c r="X87">
        <f>PnL((($D$7*(1+X$2))+($D$5-$D$6)),$E87,(RiskSlide!$A$7),($G87+X$3),((RiskSlide!$A$12)/260),$C87,$B87,RiskSlide!$H116)</f>
        <v>944.35354627966251</v>
      </c>
      <c r="Y87">
        <f>PnL((($D$7*(1+Y$2))+($D$5-$D$6)),$E87,(RiskSlide!$A$7),($G87+Y$3),((RiskSlide!$A$12)/260),$C87,$B87,RiskSlide!$H116)</f>
        <v>959.00407915206574</v>
      </c>
      <c r="Z87">
        <f>PnL((($D$7*(1+Z$2))+($D$5-$D$6)),$E87,(RiskSlide!$A$7),($G87+Z$3),((RiskSlide!$A$12)/260),$C87,$B87,RiskSlide!$H116)</f>
        <v>972.10610665191052</v>
      </c>
      <c r="AA87">
        <f>PnL((($D$7*(1+AA$2))+($D$5-$D$6)),$E87,(RiskSlide!$A$7),($G87+AA$3),((RiskSlide!$A$12)/260),$C87,$B87,RiskSlide!$H116)</f>
        <v>1024.0591892247865</v>
      </c>
      <c r="AB87">
        <f>PnL((($D$7*(1+AB$2))+($D$5-$D$6)),$E87,(RiskSlide!$A$7),($G87+AB$3),((RiskSlide!$A$12)/260),$C87,$B87,RiskSlide!$H116)</f>
        <v>1026.7490708841535</v>
      </c>
      <c r="AC87">
        <f>PnL((($D$7*(1+AC$2))+($D$5-$D$6)),$E87,(RiskSlide!$A$7),($G87+AC$3),((RiskSlide!$A$12)/260),$C87,$B87,RiskSlide!$H116)</f>
        <v>-676.16068777025475</v>
      </c>
      <c r="AD87">
        <f>PnL((($D$7*(1+AD$2))+($D$5-$D$6)),$E87,(RiskSlide!$A$7),($G87+AD$3),((RiskSlide!$A$12)/260),$C87,$B87,RiskSlide!$H116)</f>
        <v>-162.09334558687942</v>
      </c>
      <c r="AE87">
        <f>PnL((($D$7*(1+AE$2))+($D$5-$D$6)),$E87,(RiskSlide!$A$7),($G87+AE$3),((RiskSlide!$A$12)/260),$C87,$B87,RiskSlide!$H116)</f>
        <v>237.31299526711496</v>
      </c>
      <c r="AF87">
        <f>PnL((($D$7*(1+AF$2))+($D$5-$D$6)),$E87,(RiskSlide!$A$7),($G87+AF$3),((RiskSlide!$A$12)/260),$C87,$B87,RiskSlide!$H116)</f>
        <v>285.98049593835526</v>
      </c>
      <c r="AG87">
        <f>PnL((($D$7*(1+AG$2))+($D$5-$D$6)),$E87,(RiskSlide!$A$7),($G87+AG$3),((RiskSlide!$A$12)/260),$C87,$B87,RiskSlide!$H116)</f>
        <v>334.26297058571777</v>
      </c>
      <c r="AH87">
        <f>PnL((($D$7*(1+AH$2))+($D$5-$D$6)),$E87,(RiskSlide!$A$7),($G87+AH$3),((RiskSlide!$A$12)/260),$C87,$B87,RiskSlide!$H116)</f>
        <v>382.11556910533204</v>
      </c>
      <c r="AI87">
        <f>PnL((($D$7*(1+AI$2))+($D$5-$D$6)),$E87,(RiskSlide!$A$7),($G87+AI$3),((RiskSlide!$A$12)/260),$C87,$B87,RiskSlide!$H116)</f>
        <v>429.48641547357624</v>
      </c>
      <c r="AJ87">
        <f>PnL((($D$7*(1+AJ$2))+($D$5-$D$6)),$E87,(RiskSlide!$A$7),($G87+AJ$3),((RiskSlide!$A$12)/260),$C87,$B87,RiskSlide!$H116)</f>
        <v>781.09277061855664</v>
      </c>
      <c r="AK87">
        <f>PnL((($D$7*(1+AK$2))+($D$5-$D$6)),$E87,(RiskSlide!$A$7),($G87+AK$3),((RiskSlide!$A$12)/260),$C87,$B87,RiskSlide!$H116)</f>
        <v>1024.9999325695435</v>
      </c>
      <c r="AL87">
        <f>PnL((($D$7*(1+AL$2))+($D$5-$D$6)),$E87,(RiskSlide!$A$7),($G87+AL$3),((RiskSlide!$A$12)/260),$C87,$B87,RiskSlide!$H116)</f>
        <v>-865.29235355550895</v>
      </c>
      <c r="AM87">
        <f>PnL((($D$7*(1+AM$2))+($D$5-$D$6)),$E87,(RiskSlide!$A$7),($G87+AM$3),((RiskSlide!$A$12)/260),$C87,$B87,RiskSlide!$H116)</f>
        <v>-338.77802433887041</v>
      </c>
      <c r="AN87">
        <f>PnL((($D$7*(1+AN$2))+($D$5-$D$6)),$E87,(RiskSlide!$A$7),($G87+AN$3),((RiskSlide!$A$12)/260),$C87,$B87,RiskSlide!$H116)</f>
        <v>76.19544494599495</v>
      </c>
      <c r="AO87">
        <f>PnL((($D$7*(1+AO$2))+($D$5-$D$6)),$E87,(RiskSlide!$A$7),($G87+AO$3),((RiskSlide!$A$12)/260),$C87,$B87,RiskSlide!$H116)</f>
        <v>127.39474670885329</v>
      </c>
      <c r="AP87">
        <f>PnL((($D$7*(1+AP$2))+($D$5-$D$6)),$E87,(RiskSlide!$A$7),($G87+AP$3),((RiskSlide!$A$12)/260),$C87,$B87,RiskSlide!$H116)</f>
        <v>178.38615521040992</v>
      </c>
      <c r="AQ87">
        <f>PnL((($D$7*(1+AQ$2))+($D$5-$D$6)),$E87,(RiskSlide!$A$7),($G87+AQ$3),((RiskSlide!$A$12)/260),$C87,$B87,RiskSlide!$H116)</f>
        <v>229.14443391177883</v>
      </c>
      <c r="AR87">
        <f>PnL((($D$7*(1+AR$2))+($D$5-$D$6)),$E87,(RiskSlide!$A$7),($G87+AR$3),((RiskSlide!$A$12)/260),$C87,$B87,RiskSlide!$H116)</f>
        <v>279.64017006162294</v>
      </c>
      <c r="AS87">
        <f>PnL((($D$7*(1+AS$2))+($D$5-$D$6)),$E87,(RiskSlide!$A$7),($G87+AS$3),((RiskSlide!$A$12)/260),$C87,$B87,RiskSlide!$H116)</f>
        <v>668.25450930619184</v>
      </c>
      <c r="AT87">
        <f>PnL((($D$7*(1+AT$2))+($D$5-$D$6)),$E87,(RiskSlide!$A$7),($G87+AT$3),((RiskSlide!$A$12)/260),$C87,$B87,RiskSlide!$H116)</f>
        <v>1015.4030712855637</v>
      </c>
      <c r="AU87">
        <f>PnL((($D$7*(1+AU$2))+($D$5-$D$6)),$E87,(RiskSlide!$A$7),($G87+AU$3),((RiskSlide!$A$12)/260),$C87,$B87,RiskSlide!$H116)</f>
        <v>-1067.4112673638319</v>
      </c>
      <c r="AV87">
        <f>PnL((($D$7*(1+AV$2))+($D$5-$D$6)),$E87,(RiskSlide!$A$7),($G87+AV$3),((RiskSlide!$A$12)/260),$C87,$B87,RiskSlide!$H116)</f>
        <v>-531.98194496069391</v>
      </c>
      <c r="AW87">
        <f>PnL((($D$7*(1+AW$2))+($D$5-$D$6)),$E87,(RiskSlide!$A$7),($G87+AW$3),((RiskSlide!$A$12)/260),$C87,$B87,RiskSlide!$H116)</f>
        <v>-105.93052854176221</v>
      </c>
      <c r="AX87">
        <f>PnL((($D$7*(1+AX$2))+($D$5-$D$6)),$E87,(RiskSlide!$A$7),($G87+AX$3),((RiskSlide!$A$12)/260),$C87,$B87,RiskSlide!$H116)</f>
        <v>-52.925941454839176</v>
      </c>
      <c r="AY87">
        <f>PnL((($D$7*(1+AY$2))+($D$5-$D$6)),$E87,(RiskSlide!$A$7),($G87+AY$3),((RiskSlide!$A$12)/260),$C87,$B87,RiskSlide!$H116)</f>
        <v>0</v>
      </c>
      <c r="AZ87">
        <f>PnL((($D$7*(1+AZ$2))+($D$5-$D$6)),$E87,(RiskSlide!$A$7),($G87+AZ$3),((RiskSlide!$A$12)/260),$C87,$B87,RiskSlide!$H116)</f>
        <v>52.83742362652788</v>
      </c>
      <c r="BA87">
        <f>PnL((($D$7*(1+BA$2))+($D$5-$D$6)),$E87,(RiskSlide!$A$7),($G87+BA$3),((RiskSlide!$A$12)/260),$C87,$B87,RiskSlide!$H116)</f>
        <v>105.57476927769471</v>
      </c>
      <c r="BB87">
        <f>PnL((($D$7*(1+BB$2))+($D$5-$D$6)),$E87,(RiskSlide!$A$7),($G87+BB$3),((RiskSlide!$A$12)/260),$C87,$B87,RiskSlide!$H116)</f>
        <v>521.49472341954493</v>
      </c>
      <c r="BC87">
        <f>PnL((($D$7*(1+BC$2))+($D$5-$D$6)),$E87,(RiskSlide!$A$7),($G87+BC$3),((RiskSlide!$A$12)/260),$C87,$B87,RiskSlide!$H116)</f>
        <v>976.30819261455315</v>
      </c>
      <c r="BD87">
        <f>PnL((($D$7*(1+BD$2))+($D$5-$D$6)),$E87,(RiskSlide!$A$7),($G87+BD$3),((RiskSlide!$A$12)/260),$C87,$B87,RiskSlide!$H116)</f>
        <v>-1282.5636940209961</v>
      </c>
      <c r="BE87">
        <f>PnL((($D$7*(1+BE$2))+($D$5-$D$6)),$E87,(RiskSlide!$A$7),($G87+BE$3),((RiskSlide!$A$12)/260),$C87,$B87,RiskSlide!$H116)</f>
        <v>-741.88488602611642</v>
      </c>
      <c r="BF87">
        <f>PnL((($D$7*(1+BF$2))+($D$5-$D$6)),$E87,(RiskSlide!$A$7),($G87+BF$3),((RiskSlide!$A$12)/260),$C87,$B87,RiskSlide!$H116)</f>
        <v>-309.56138162401317</v>
      </c>
      <c r="BG87">
        <f>PnL((($D$7*(1+BG$2))+($D$5-$D$6)),$E87,(RiskSlide!$A$7),($G87+BG$3),((RiskSlide!$A$12)/260),$C87,$B87,RiskSlide!$H116)</f>
        <v>-255.54927959700535</v>
      </c>
      <c r="BH87">
        <f>PnL((($D$7*(1+BH$2))+($D$5-$D$6)),$E87,(RiskSlide!$A$7),($G87+BH$3),((RiskSlide!$A$12)/260),$C87,$B87,RiskSlide!$H116)</f>
        <v>-201.5464721825424</v>
      </c>
      <c r="BI87">
        <f>PnL((($D$7*(1+BI$2))+($D$5-$D$6)),$E87,(RiskSlide!$A$7),($G87+BI$3),((RiskSlide!$A$12)/260),$C87,$B87,RiskSlide!$H116)</f>
        <v>-147.55425782822158</v>
      </c>
      <c r="BJ87">
        <f>PnL((($D$7*(1+BJ$2))+($D$5-$D$6)),$E87,(RiskSlide!$A$7),($G87+BJ$3),((RiskSlide!$A$12)/260),$C87,$B87,RiskSlide!$H116)</f>
        <v>-93.5741560532108</v>
      </c>
      <c r="BK87">
        <f>PnL((($D$7*(1+BK$2))+($D$5-$D$6)),$E87,(RiskSlide!$A$7),($G87+BK$3),((RiskSlide!$A$12)/260),$C87,$B87,RiskSlide!$H116)</f>
        <v>337.51674100690821</v>
      </c>
      <c r="BL87">
        <f>PnL((($D$7*(1+BL$2))+($D$5-$D$6)),$E87,(RiskSlide!$A$7),($G87+BL$3),((RiskSlide!$A$12)/260),$C87,$B87,RiskSlide!$H116)</f>
        <v>867.10203986372676</v>
      </c>
      <c r="BM87">
        <f>PnL((($D$7*(1+BM$2))+($D$5-$D$6)),$E87,(RiskSlide!$A$7),($G87+BM$3),((RiskSlide!$A$12)/260),$C87,$B87,RiskSlide!$H116)</f>
        <v>-1510.7253994244104</v>
      </c>
      <c r="BN87">
        <f>PnL((($D$7*(1+BN$2))+($D$5-$D$6)),$E87,(RiskSlide!$A$7),($G87+BN$3),((RiskSlide!$A$12)/260),$C87,$B87,RiskSlide!$H116)</f>
        <v>-968.5175317701237</v>
      </c>
      <c r="BO87">
        <f>PnL((($D$7*(1+BO$2))+($D$5-$D$6)),$E87,(RiskSlide!$A$7),($G87+BO$3),((RiskSlide!$A$12)/260),$C87,$B87,RiskSlide!$H116)</f>
        <v>-534.87440375001825</v>
      </c>
      <c r="BP87">
        <f>PnL((($D$7*(1+BP$2))+($D$5-$D$6)),$E87,(RiskSlide!$A$7),($G87+BP$3),((RiskSlide!$A$12)/260),$C87,$B87,RiskSlide!$H116)</f>
        <v>-480.68692330022031</v>
      </c>
      <c r="BQ87">
        <f>PnL((($D$7*(1+BQ$2))+($D$5-$D$6)),$E87,(RiskSlide!$A$7),($G87+BQ$3),((RiskSlide!$A$12)/260),$C87,$B87,RiskSlide!$H116)</f>
        <v>-426.50549293409767</v>
      </c>
      <c r="BR87">
        <f>PnL((($D$7*(1+BR$2))+($D$5-$D$6)),$E87,(RiskSlide!$A$7),($G87+BR$3),((RiskSlide!$A$12)/260),$C87,$B87,RiskSlide!$H116)</f>
        <v>-372.33100495394069</v>
      </c>
      <c r="BS87">
        <f>PnL((($D$7*(1+BS$2))+($D$5-$D$6)),$E87,(RiskSlide!$A$7),($G87+BS$3),((RiskSlide!$A$12)/260),$C87,$B87,RiskSlide!$H116)</f>
        <v>-318.16450198269308</v>
      </c>
      <c r="BT87">
        <f>PnL((($D$7*(1+BT$2))+($D$5-$D$6)),$E87,(RiskSlide!$A$7),($G87+BT$3),((RiskSlide!$A$12)/260),$C87,$B87,RiskSlide!$H116)</f>
        <v>114.66545350498336</v>
      </c>
      <c r="BU87">
        <f>PnL((($D$7*(1+BU$2))+($D$5-$D$6)),$E87,(RiskSlide!$A$7),($G87+BU$3),((RiskSlide!$A$12)/260),$C87,$B87,RiskSlide!$H116)</f>
        <v>649.37964419484047</v>
      </c>
      <c r="BV87">
        <f>PnL((($D$7*(1+BV$2))+($D$5-$D$6)),$E87,(RiskSlide!$A$7),($G87+BV$3),((RiskSlide!$A$12)/260),$C87,$B87,RiskSlide!$H116)</f>
        <v>-3780.214774508494</v>
      </c>
      <c r="BW87">
        <f>PnL((($D$7*(1+BW$2))+($D$5-$D$6)),$E87,(RiskSlide!$A$7),($G87+BW$3),((RiskSlide!$A$12)/260),$C87,$B87,RiskSlide!$H116)</f>
        <v>-3342.6673120423684</v>
      </c>
      <c r="BX87">
        <f>PnL((($D$7*(1+BX$2))+($D$5-$D$6)),$E87,(RiskSlide!$A$7),($G87+BX$3),((RiskSlide!$A$12)/260),$C87,$B87,RiskSlide!$H116)</f>
        <v>-3043.2530324272593</v>
      </c>
      <c r="BY87">
        <f>PnL((($D$7*(1+BY$2))+($D$5-$D$6)),$E87,(RiskSlide!$A$7),($G87+BY$3),((RiskSlide!$A$12)/260),$C87,$B87,RiskSlide!$H116)</f>
        <v>-3010.658004774149</v>
      </c>
      <c r="BZ87">
        <f>PnL((($D$7*(1+BZ$2))+($D$5-$D$6)),$E87,(RiskSlide!$A$7),($G87+BZ$3),((RiskSlide!$A$12)/260),$C87,$B87,RiskSlide!$H116)</f>
        <v>-2979.4203285633275</v>
      </c>
      <c r="CA87">
        <f>PnL((($D$7*(1+CA$2))+($D$5-$D$6)),$E87,(RiskSlide!$A$7),($G87+CA$3),((RiskSlide!$A$12)/260),$C87,$B87,RiskSlide!$H116)</f>
        <v>-2949.6430325524389</v>
      </c>
      <c r="CB87">
        <f>PnL((($D$7*(1+CB$2))+($D$5-$D$6)),$E87,(RiskSlide!$A$7),($G87+CB$3),((RiskSlide!$A$12)/260),$C87,$B87,RiskSlide!$H116)</f>
        <v>-2921.4354624798434</v>
      </c>
      <c r="CC87">
        <f>PnL((($D$7*(1+CC$2))+($D$5-$D$6)),$E87,(RiskSlide!$A$7),($G87+CC$3),((RiskSlide!$A$12)/260),$C87,$B87,RiskSlide!$H116)</f>
        <v>-2766.022374435971</v>
      </c>
      <c r="CD87">
        <f>PnL((($D$7*(1+CD$2))+($D$5-$D$6)),$E87,(RiskSlide!$A$7),($G87+CD$3),((RiskSlide!$A$12)/260),$C87,$B87,RiskSlide!$H116)</f>
        <v>-2738.3116447761213</v>
      </c>
      <c r="CE87">
        <f>PnL((($D$7*(1+CE$2))+($D$5-$D$6)),$E87,(RiskSlide!$A$7),($G87+CE$3),((RiskSlide!$A$12)/260),$C87,$B87,RiskSlide!$H116)</f>
        <v>-7489.6513449154045</v>
      </c>
      <c r="CF87">
        <f>PnL((($D$7*(1+CF$2))+($D$5-$D$6)),$E87,(RiskSlide!$A$7),($G87+CF$3),((RiskSlide!$A$12)/260),$C87,$B87,RiskSlide!$H116)</f>
        <v>-7292.9587088578555</v>
      </c>
      <c r="CG87">
        <f>PnL((($D$7*(1+CG$2))+($D$5-$D$6)),$E87,(RiskSlide!$A$7),($G87+CG$3),((RiskSlide!$A$12)/260),$C87,$B87,RiskSlide!$H116)</f>
        <v>-7214.2664651756204</v>
      </c>
      <c r="CH87">
        <f>PnL((($D$7*(1+CH$2))+($D$5-$D$6)),$E87,(RiskSlide!$A$7),($G87+CH$3),((RiskSlide!$A$12)/260),$C87,$B87,RiskSlide!$H116)</f>
        <v>-7209.1564067489398</v>
      </c>
      <c r="CI87">
        <f>PnL((($D$7*(1+CI$2))+($D$5-$D$6)),$E87,(RiskSlide!$A$7),($G87+CI$3),((RiskSlide!$A$12)/260),$C87,$B87,RiskSlide!$H116)</f>
        <v>-7204.9439182397182</v>
      </c>
      <c r="CJ87">
        <f>PnL((($D$7*(1+CJ$2))+($D$5-$D$6)),$E87,(RiskSlide!$A$7),($G87+CJ$3),((RiskSlide!$A$12)/260),$C87,$B87,RiskSlide!$H116)</f>
        <v>-7201.5543868015302</v>
      </c>
      <c r="CK87">
        <f>PnL((($D$7*(1+CK$2))+($D$5-$D$6)),$E87,(RiskSlide!$A$7),($G87+CK$3),((RiskSlide!$A$12)/260),$C87,$B87,RiskSlide!$H116)</f>
        <v>-7198.9034415833712</v>
      </c>
      <c r="CL87">
        <f>PnL((($D$7*(1+CL$2))+($D$5-$D$6)),$E87,(RiskSlide!$A$7),($G87+CL$3),((RiskSlide!$A$12)/260),$C87,$B87,RiskSlide!$H116)</f>
        <v>-7192.9861130331519</v>
      </c>
      <c r="CM87">
        <f>PnL((($D$7*(1+CM$2))+($D$5-$D$6)),$E87,(RiskSlide!$A$7),($G87+CM$3),((RiskSlide!$A$12)/260),$C87,$B87,RiskSlide!$H116)</f>
        <v>-7192.9616432874864</v>
      </c>
    </row>
    <row r="88" spans="1:91" x14ac:dyDescent="0.25">
      <c r="A88" t="s">
        <v>83</v>
      </c>
      <c r="B88">
        <v>12</v>
      </c>
      <c r="C88">
        <v>0</v>
      </c>
      <c r="E88">
        <v>1790</v>
      </c>
      <c r="F88">
        <v>3.5000000000000001E-3</v>
      </c>
      <c r="G88">
        <v>0.124372</v>
      </c>
      <c r="K88">
        <f>PnL((($D$7*(1+K$2))+($D$5-$D$6)),$E88,(RiskSlide!$A$7),($G88+K$3),((RiskSlide!$A$12)/260),$C88,$B88,RiskSlide!$H117)</f>
        <v>95967.262958894076</v>
      </c>
      <c r="L88">
        <f>PnL((($D$7*(1+L$2))+($D$5-$D$6)),$E88,(RiskSlide!$A$7),($G88+L$3),((RiskSlide!$A$12)/260),$C88,$B88,RiskSlide!$H117)</f>
        <v>94899.704337378804</v>
      </c>
      <c r="M88">
        <f>PnL((($D$7*(1+M$2))+($D$5-$D$6)),$E88,(RiskSlide!$A$7),($G88+M$3),((RiskSlide!$A$12)/260),$C88,$B88,RiskSlide!$H117)</f>
        <v>94624.325173282297</v>
      </c>
      <c r="N88">
        <f>PnL((($D$7*(1+N$2))+($D$5-$D$6)),$E88,(RiskSlide!$A$7),($G88+N$3),((RiskSlide!$A$12)/260),$C88,$B88,RiskSlide!$H117)</f>
        <v>94613.17103976848</v>
      </c>
      <c r="O88">
        <f>PnL((($D$7*(1+O$2))+($D$5-$D$6)),$E88,(RiskSlide!$A$7),($G88+O$3),((RiskSlide!$A$12)/260),$C88,$B88,RiskSlide!$H117)</f>
        <v>94605.084833677029</v>
      </c>
      <c r="P88">
        <f>PnL((($D$7*(1+P$2))+($D$5-$D$6)),$E88,(RiskSlide!$A$7),($G88+P$3),((RiskSlide!$A$12)/260),$C88,$B88,RiskSlide!$H117)</f>
        <v>94599.453866607888</v>
      </c>
      <c r="Q88">
        <f>PnL((($D$7*(1+Q$2))+($D$5-$D$6)),$E88,(RiskSlide!$A$7),($G88+Q$3),((RiskSlide!$A$12)/260),$C88,$B88,RiskSlide!$H117)</f>
        <v>94595.713419566804</v>
      </c>
      <c r="R88">
        <f>PnL((($D$7*(1+R$2))+($D$5-$D$6)),$E88,(RiskSlide!$A$7),($G88+R$3),((RiskSlide!$A$12)/260),$C88,$B88,RiskSlide!$H117)</f>
        <v>94590.612235208566</v>
      </c>
      <c r="S88">
        <f>PnL((($D$7*(1+S$2))+($D$5-$D$6)),$E88,(RiskSlide!$A$7),($G88+S$3),((RiskSlide!$A$12)/260),$C88,$B88,RiskSlide!$H117)</f>
        <v>94590.611149390184</v>
      </c>
      <c r="T88">
        <f>PnL((($D$7*(1+T$2))+($D$5-$D$6)),$E88,(RiskSlide!$A$7),($G88+T$3),((RiskSlide!$A$12)/260),$C88,$B88,RiskSlide!$H117)</f>
        <v>48687.619289780014</v>
      </c>
      <c r="U88">
        <f>PnL((($D$7*(1+U$2))+($D$5-$D$6)),$E88,(RiskSlide!$A$7),($G88+U$3),((RiskSlide!$A$12)/260),$C88,$B88,RiskSlide!$H117)</f>
        <v>44792.21585223818</v>
      </c>
      <c r="V88">
        <f>PnL((($D$7*(1+V$2))+($D$5-$D$6)),$E88,(RiskSlide!$A$7),($G88+V$3),((RiskSlide!$A$12)/260),$C88,$B88,RiskSlide!$H117)</f>
        <v>42529.472781503777</v>
      </c>
      <c r="W88">
        <f>PnL((($D$7*(1+W$2))+($D$5-$D$6)),$E88,(RiskSlide!$A$7),($G88+W$3),((RiskSlide!$A$12)/260),$C88,$B88,RiskSlide!$H117)</f>
        <v>42317.615296997472</v>
      </c>
      <c r="X88">
        <f>PnL((($D$7*(1+X$2))+($D$5-$D$6)),$E88,(RiskSlide!$A$7),($G88+X$3),((RiskSlide!$A$12)/260),$C88,$B88,RiskSlide!$H117)</f>
        <v>42123.557444644255</v>
      </c>
      <c r="Y88">
        <f>PnL((($D$7*(1+Y$2))+($D$5-$D$6)),$E88,(RiskSlide!$A$7),($G88+Y$3),((RiskSlide!$A$12)/260),$C88,$B88,RiskSlide!$H117)</f>
        <v>41947.751050175248</v>
      </c>
      <c r="Z88">
        <f>PnL((($D$7*(1+Z$2))+($D$5-$D$6)),$E88,(RiskSlide!$A$7),($G88+Z$3),((RiskSlide!$A$12)/260),$C88,$B88,RiskSlide!$H117)</f>
        <v>41790.526720177193</v>
      </c>
      <c r="AA88">
        <f>PnL((($D$7*(1+AA$2))+($D$5-$D$6)),$E88,(RiskSlide!$A$7),($G88+AA$3),((RiskSlide!$A$12)/260),$C88,$B88,RiskSlide!$H117)</f>
        <v>41167.089729302781</v>
      </c>
      <c r="AB88">
        <f>PnL((($D$7*(1+AB$2))+($D$5-$D$6)),$E88,(RiskSlide!$A$7),($G88+AB$3),((RiskSlide!$A$12)/260),$C88,$B88,RiskSlide!$H117)</f>
        <v>41134.811149390269</v>
      </c>
      <c r="AC88">
        <f>PnL((($D$7*(1+AC$2))+($D$5-$D$6)),$E88,(RiskSlide!$A$7),($G88+AC$3),((RiskSlide!$A$12)/260),$C88,$B88,RiskSlide!$H117)</f>
        <v>18805.088253243091</v>
      </c>
      <c r="AD88">
        <f>PnL((($D$7*(1+AD$2))+($D$5-$D$6)),$E88,(RiskSlide!$A$7),($G88+AD$3),((RiskSlide!$A$12)/260),$C88,$B88,RiskSlide!$H117)</f>
        <v>12636.280147042862</v>
      </c>
      <c r="AE88">
        <f>PnL((($D$7*(1+AE$2))+($D$5-$D$6)),$E88,(RiskSlide!$A$7),($G88+AE$3),((RiskSlide!$A$12)/260),$C88,$B88,RiskSlide!$H117)</f>
        <v>7843.404056794725</v>
      </c>
      <c r="AF88">
        <f>PnL((($D$7*(1+AF$2))+($D$5-$D$6)),$E88,(RiskSlide!$A$7),($G88+AF$3),((RiskSlide!$A$12)/260),$C88,$B88,RiskSlide!$H117)</f>
        <v>7259.3940487397049</v>
      </c>
      <c r="AG88">
        <f>PnL((($D$7*(1+AG$2))+($D$5-$D$6)),$E88,(RiskSlide!$A$7),($G88+AG$3),((RiskSlide!$A$12)/260),$C88,$B88,RiskSlide!$H117)</f>
        <v>6680.0043529716277</v>
      </c>
      <c r="AH88">
        <f>PnL((($D$7*(1+AH$2))+($D$5-$D$6)),$E88,(RiskSlide!$A$7),($G88+AH$3),((RiskSlide!$A$12)/260),$C88,$B88,RiskSlide!$H117)</f>
        <v>6105.7731707362564</v>
      </c>
      <c r="AI88">
        <f>PnL((($D$7*(1+AI$2))+($D$5-$D$6)),$E88,(RiskSlide!$A$7),($G88+AI$3),((RiskSlide!$A$12)/260),$C88,$B88,RiskSlide!$H117)</f>
        <v>5537.3230143173259</v>
      </c>
      <c r="AJ88">
        <f>PnL((($D$7*(1+AJ$2))+($D$5-$D$6)),$E88,(RiskSlide!$A$7),($G88+AJ$3),((RiskSlide!$A$12)/260),$C88,$B88,RiskSlide!$H117)</f>
        <v>1318.046752577493</v>
      </c>
      <c r="AK88">
        <f>PnL((($D$7*(1+AK$2))+($D$5-$D$6)),$E88,(RiskSlide!$A$7),($G88+AK$3),((RiskSlide!$A$12)/260),$C88,$B88,RiskSlide!$H117)</f>
        <v>-1608.839190834442</v>
      </c>
      <c r="AL88">
        <f>PnL((($D$7*(1+AL$2))+($D$5-$D$6)),$E88,(RiskSlide!$A$7),($G88+AL$3),((RiskSlide!$A$12)/260),$C88,$B88,RiskSlide!$H117)</f>
        <v>15729.088242666126</v>
      </c>
      <c r="AM88">
        <f>PnL((($D$7*(1+AM$2))+($D$5-$D$6)),$E88,(RiskSlide!$A$7),($G88+AM$3),((RiskSlide!$A$12)/260),$C88,$B88,RiskSlide!$H117)</f>
        <v>9410.9162920665312</v>
      </c>
      <c r="AN88">
        <f>PnL((($D$7*(1+AN$2))+($D$5-$D$6)),$E88,(RiskSlide!$A$7),($G88+AN$3),((RiskSlide!$A$12)/260),$C88,$B88,RiskSlide!$H117)</f>
        <v>4431.2346606483516</v>
      </c>
      <c r="AO88">
        <f>PnL((($D$7*(1+AO$2))+($D$5-$D$6)),$E88,(RiskSlide!$A$7),($G88+AO$3),((RiskSlide!$A$12)/260),$C88,$B88,RiskSlide!$H117)</f>
        <v>3816.8430394937786</v>
      </c>
      <c r="AP88">
        <f>PnL((($D$7*(1+AP$2))+($D$5-$D$6)),$E88,(RiskSlide!$A$7),($G88+AP$3),((RiskSlide!$A$12)/260),$C88,$B88,RiskSlide!$H117)</f>
        <v>3204.946137475099</v>
      </c>
      <c r="AQ88">
        <f>PnL((($D$7*(1+AQ$2))+($D$5-$D$6)),$E88,(RiskSlide!$A$7),($G88+AQ$3),((RiskSlide!$A$12)/260),$C88,$B88,RiskSlide!$H117)</f>
        <v>2595.8467930588085</v>
      </c>
      <c r="AR88">
        <f>PnL((($D$7*(1+AR$2))+($D$5-$D$6)),$E88,(RiskSlide!$A$7),($G88+AR$3),((RiskSlide!$A$12)/260),$C88,$B88,RiskSlide!$H117)</f>
        <v>1989.8979592606793</v>
      </c>
      <c r="AS88">
        <f>PnL((($D$7*(1+AS$2))+($D$5-$D$6)),$E88,(RiskSlide!$A$7),($G88+AS$3),((RiskSlide!$A$12)/260),$C88,$B88,RiskSlide!$H117)</f>
        <v>-2673.4741116742498</v>
      </c>
      <c r="AT88">
        <f>PnL((($D$7*(1+AT$2))+($D$5-$D$6)),$E88,(RiskSlide!$A$7),($G88+AT$3),((RiskSlide!$A$12)/260),$C88,$B88,RiskSlide!$H117)</f>
        <v>-6839.2568554265836</v>
      </c>
      <c r="AU88">
        <f>PnL((($D$7*(1+AU$2))+($D$5-$D$6)),$E88,(RiskSlide!$A$7),($G88+AU$3),((RiskSlide!$A$12)/260),$C88,$B88,RiskSlide!$H117)</f>
        <v>12808.935208366187</v>
      </c>
      <c r="AV88">
        <f>PnL((($D$7*(1+AV$2))+($D$5-$D$6)),$E88,(RiskSlide!$A$7),($G88+AV$3),((RiskSlide!$A$12)/260),$C88,$B88,RiskSlide!$H117)</f>
        <v>6383.7833395284633</v>
      </c>
      <c r="AW88">
        <f>PnL((($D$7*(1+AW$2))+($D$5-$D$6)),$E88,(RiskSlide!$A$7),($G88+AW$3),((RiskSlide!$A$12)/260),$C88,$B88,RiskSlide!$H117)</f>
        <v>1271.1663425010784</v>
      </c>
      <c r="AX88">
        <f>PnL((($D$7*(1+AX$2))+($D$5-$D$6)),$E88,(RiskSlide!$A$7),($G88+AX$3),((RiskSlide!$A$12)/260),$C88,$B88,RiskSlide!$H117)</f>
        <v>635.11129745827475</v>
      </c>
      <c r="AY88">
        <f>PnL((($D$7*(1+AY$2))+($D$5-$D$6)),$E88,(RiskSlide!$A$7),($G88+AY$3),((RiskSlide!$A$12)/260),$C88,$B88,RiskSlide!$H117)</f>
        <v>0</v>
      </c>
      <c r="AZ88">
        <f>PnL((($D$7*(1+AZ$2))+($D$5-$D$6)),$E88,(RiskSlide!$A$7),($G88+AZ$3),((RiskSlide!$A$12)/260),$C88,$B88,RiskSlide!$H117)</f>
        <v>-634.04908351826634</v>
      </c>
      <c r="BA88">
        <f>PnL((($D$7*(1+BA$2))+($D$5-$D$6)),$E88,(RiskSlide!$A$7),($G88+BA$3),((RiskSlide!$A$12)/260),$C88,$B88,RiskSlide!$H117)</f>
        <v>-1266.8972313321319</v>
      </c>
      <c r="BB88">
        <f>PnL((($D$7*(1+BB$2))+($D$5-$D$6)),$E88,(RiskSlide!$A$7),($G88+BB$3),((RiskSlide!$A$12)/260),$C88,$B88,RiskSlide!$H117)</f>
        <v>-6257.9366810344709</v>
      </c>
      <c r="BC88">
        <f>PnL((($D$7*(1+BC$2))+($D$5-$D$6)),$E88,(RiskSlide!$A$7),($G88+BC$3),((RiskSlide!$A$12)/260),$C88,$B88,RiskSlide!$H117)</f>
        <v>-11715.698311374535</v>
      </c>
      <c r="BD88">
        <f>PnL((($D$7*(1+BD$2))+($D$5-$D$6)),$E88,(RiskSlide!$A$7),($G88+BD$3),((RiskSlide!$A$12)/260),$C88,$B88,RiskSlide!$H117)</f>
        <v>10045.18432825214</v>
      </c>
      <c r="BE88">
        <f>PnL((($D$7*(1+BE$2))+($D$5-$D$6)),$E88,(RiskSlide!$A$7),($G88+BE$3),((RiskSlide!$A$12)/260),$C88,$B88,RiskSlide!$H117)</f>
        <v>3557.0386323136518</v>
      </c>
      <c r="BF88">
        <f>PnL((($D$7*(1+BF$2))+($D$5-$D$6)),$E88,(RiskSlide!$A$7),($G88+BF$3),((RiskSlide!$A$12)/260),$C88,$B88,RiskSlide!$H117)</f>
        <v>-1630.8434205115873</v>
      </c>
      <c r="BG88">
        <f>PnL((($D$7*(1+BG$2))+($D$5-$D$6)),$E88,(RiskSlide!$A$7),($G88+BG$3),((RiskSlide!$A$12)/260),$C88,$B88,RiskSlide!$H117)</f>
        <v>-2278.9886448358175</v>
      </c>
      <c r="BH88">
        <f>PnL((($D$7*(1+BH$2))+($D$5-$D$6)),$E88,(RiskSlide!$A$7),($G88+BH$3),((RiskSlide!$A$12)/260),$C88,$B88,RiskSlide!$H117)</f>
        <v>-2927.0223338092364</v>
      </c>
      <c r="BI88">
        <f>PnL((($D$7*(1+BI$2))+($D$5-$D$6)),$E88,(RiskSlide!$A$7),($G88+BI$3),((RiskSlide!$A$12)/260),$C88,$B88,RiskSlide!$H117)</f>
        <v>-3574.9289060609499</v>
      </c>
      <c r="BJ88">
        <f>PnL((($D$7*(1+BJ$2))+($D$5-$D$6)),$E88,(RiskSlide!$A$7),($G88+BJ$3),((RiskSlide!$A$12)/260),$C88,$B88,RiskSlide!$H117)</f>
        <v>-4222.6901273612157</v>
      </c>
      <c r="BK88">
        <f>PnL((($D$7*(1+BK$2))+($D$5-$D$6)),$E88,(RiskSlide!$A$7),($G88+BK$3),((RiskSlide!$A$12)/260),$C88,$B88,RiskSlide!$H117)</f>
        <v>-9395.7808920826428</v>
      </c>
      <c r="BL88">
        <f>PnL((($D$7*(1+BL$2))+($D$5-$D$6)),$E88,(RiskSlide!$A$7),($G88+BL$3),((RiskSlide!$A$12)/260),$C88,$B88,RiskSlide!$H117)</f>
        <v>-15750.804478364535</v>
      </c>
      <c r="BM88">
        <f>PnL((($D$7*(1+BM$2))+($D$5-$D$6)),$E88,(RiskSlide!$A$7),($G88+BM$3),((RiskSlide!$A$12)/260),$C88,$B88,RiskSlide!$H117)</f>
        <v>7437.5447930929568</v>
      </c>
      <c r="BN88">
        <f>PnL((($D$7*(1+BN$2))+($D$5-$D$6)),$E88,(RiskSlide!$A$7),($G88+BN$3),((RiskSlide!$A$12)/260),$C88,$B88,RiskSlide!$H117)</f>
        <v>931.05038124144812</v>
      </c>
      <c r="BO88">
        <f>PnL((($D$7*(1+BO$2))+($D$5-$D$6)),$E88,(RiskSlide!$A$7),($G88+BO$3),((RiskSlide!$A$12)/260),$C88,$B88,RiskSlide!$H117)</f>
        <v>-4272.6671549996809</v>
      </c>
      <c r="BP88">
        <f>PnL((($D$7*(1+BP$2))+($D$5-$D$6)),$E88,(RiskSlide!$A$7),($G88+BP$3),((RiskSlide!$A$12)/260),$C88,$B88,RiskSlide!$H117)</f>
        <v>-4922.9169203974607</v>
      </c>
      <c r="BQ88">
        <f>PnL((($D$7*(1+BQ$2))+($D$5-$D$6)),$E88,(RiskSlide!$A$7),($G88+BQ$3),((RiskSlide!$A$12)/260),$C88,$B88,RiskSlide!$H117)</f>
        <v>-5573.0940847905913</v>
      </c>
      <c r="BR88">
        <f>PnL((($D$7*(1+BR$2))+($D$5-$D$6)),$E88,(RiskSlide!$A$7),($G88+BR$3),((RiskSlide!$A$12)/260),$C88,$B88,RiskSlide!$H117)</f>
        <v>-6223.1879405526797</v>
      </c>
      <c r="BS88">
        <f>PnL((($D$7*(1+BS$2))+($D$5-$D$6)),$E88,(RiskSlide!$A$7),($G88+BS$3),((RiskSlide!$A$12)/260),$C88,$B88,RiskSlide!$H117)</f>
        <v>-6873.1859762077192</v>
      </c>
      <c r="BT88">
        <f>PnL((($D$7*(1+BT$2))+($D$5-$D$6)),$E88,(RiskSlide!$A$7),($G88+BT$3),((RiskSlide!$A$12)/260),$C88,$B88,RiskSlide!$H117)</f>
        <v>-12067.145442059631</v>
      </c>
      <c r="BU88">
        <f>PnL((($D$7*(1+BU$2))+($D$5-$D$6)),$E88,(RiskSlide!$A$7),($G88+BU$3),((RiskSlide!$A$12)/260),$C88,$B88,RiskSlide!$H117)</f>
        <v>-18483.715730337848</v>
      </c>
      <c r="BV88">
        <f>PnL((($D$7*(1+BV$2))+($D$5-$D$6)),$E88,(RiskSlide!$A$7),($G88+BV$3),((RiskSlide!$A$12)/260),$C88,$B88,RiskSlide!$H117)</f>
        <v>-8093.2227058980516</v>
      </c>
      <c r="BW88">
        <f>PnL((($D$7*(1+BW$2))+($D$5-$D$6)),$E88,(RiskSlide!$A$7),($G88+BW$3),((RiskSlide!$A$12)/260),$C88,$B88,RiskSlide!$H117)</f>
        <v>-13343.792255491519</v>
      </c>
      <c r="BX88">
        <f>PnL((($D$7*(1+BX$2))+($D$5-$D$6)),$E88,(RiskSlide!$A$7),($G88+BX$3),((RiskSlide!$A$12)/260),$C88,$B88,RiskSlide!$H117)</f>
        <v>-16936.763610872764</v>
      </c>
      <c r="BY88">
        <f>PnL((($D$7*(1+BY$2))+($D$5-$D$6)),$E88,(RiskSlide!$A$7),($G88+BY$3),((RiskSlide!$A$12)/260),$C88,$B88,RiskSlide!$H117)</f>
        <v>-17327.903942710258</v>
      </c>
      <c r="BZ88">
        <f>PnL((($D$7*(1+BZ$2))+($D$5-$D$6)),$E88,(RiskSlide!$A$7),($G88+BZ$3),((RiskSlide!$A$12)/260),$C88,$B88,RiskSlide!$H117)</f>
        <v>-17702.756057240083</v>
      </c>
      <c r="CA88">
        <f>PnL((($D$7*(1+CA$2))+($D$5-$D$6)),$E88,(RiskSlide!$A$7),($G88+CA$3),((RiskSlide!$A$12)/260),$C88,$B88,RiskSlide!$H117)</f>
        <v>-18060.08360937066</v>
      </c>
      <c r="CB88">
        <f>PnL((($D$7*(1+CB$2))+($D$5-$D$6)),$E88,(RiskSlide!$A$7),($G88+CB$3),((RiskSlide!$A$12)/260),$C88,$B88,RiskSlide!$H117)</f>
        <v>-18398.574450241911</v>
      </c>
      <c r="CC88">
        <f>PnL((($D$7*(1+CC$2))+($D$5-$D$6)),$E88,(RiskSlide!$A$7),($G88+CC$3),((RiskSlide!$A$12)/260),$C88,$B88,RiskSlide!$H117)</f>
        <v>-20263.5315067683</v>
      </c>
      <c r="CD88">
        <f>PnL((($D$7*(1+CD$2))+($D$5-$D$6)),$E88,(RiskSlide!$A$7),($G88+CD$3),((RiskSlide!$A$12)/260),$C88,$B88,RiskSlide!$H117)</f>
        <v>-20596.060262686533</v>
      </c>
      <c r="CE88">
        <f>PnL((($D$7*(1+CE$2))+($D$5-$D$6)),$E88,(RiskSlide!$A$7),($G88+CE$3),((RiskSlide!$A$12)/260),$C88,$B88,RiskSlide!$H117)</f>
        <v>-17035.783861015087</v>
      </c>
      <c r="CF88">
        <f>PnL((($D$7*(1+CF$2))+($D$5-$D$6)),$E88,(RiskSlide!$A$7),($G88+CF$3),((RiskSlide!$A$12)/260),$C88,$B88,RiskSlide!$H117)</f>
        <v>-19396.09549370559</v>
      </c>
      <c r="CG88">
        <f>PnL((($D$7*(1+CG$2))+($D$5-$D$6)),$E88,(RiskSlide!$A$7),($G88+CG$3),((RiskSlide!$A$12)/260),$C88,$B88,RiskSlide!$H117)</f>
        <v>-20340.402417892488</v>
      </c>
      <c r="CH88">
        <f>PnL((($D$7*(1+CH$2))+($D$5-$D$6)),$E88,(RiskSlide!$A$7),($G88+CH$3),((RiskSlide!$A$12)/260),$C88,$B88,RiskSlide!$H117)</f>
        <v>-20401.723119012597</v>
      </c>
      <c r="CI88">
        <f>PnL((($D$7*(1+CI$2))+($D$5-$D$6)),$E88,(RiskSlide!$A$7),($G88+CI$3),((RiskSlide!$A$12)/260),$C88,$B88,RiskSlide!$H117)</f>
        <v>-20452.272981123158</v>
      </c>
      <c r="CJ88">
        <f>PnL((($D$7*(1+CJ$2))+($D$5-$D$6)),$E88,(RiskSlide!$A$7),($G88+CJ$3),((RiskSlide!$A$12)/260),$C88,$B88,RiskSlide!$H117)</f>
        <v>-20492.947358381654</v>
      </c>
      <c r="CK88">
        <f>PnL((($D$7*(1+CK$2))+($D$5-$D$6)),$E88,(RiskSlide!$A$7),($G88+CK$3),((RiskSlide!$A$12)/260),$C88,$B88,RiskSlide!$H117)</f>
        <v>-20524.758700999584</v>
      </c>
      <c r="CL88">
        <f>PnL((($D$7*(1+CL$2))+($D$5-$D$6)),$E88,(RiskSlide!$A$7),($G88+CL$3),((RiskSlide!$A$12)/260),$C88,$B88,RiskSlide!$H117)</f>
        <v>-20595.766643602121</v>
      </c>
      <c r="CM88">
        <f>PnL((($D$7*(1+CM$2))+($D$5-$D$6)),$E88,(RiskSlide!$A$7),($G88+CM$3),((RiskSlide!$A$12)/260),$C88,$B88,RiskSlide!$H117)</f>
        <v>-20596.060280550184</v>
      </c>
    </row>
    <row r="89" spans="1:91" x14ac:dyDescent="0.25">
      <c r="A89" t="s">
        <v>84</v>
      </c>
      <c r="B89">
        <v>1</v>
      </c>
      <c r="C89">
        <v>1</v>
      </c>
      <c r="E89">
        <v>1795</v>
      </c>
      <c r="F89">
        <v>3.5000000000000001E-3</v>
      </c>
      <c r="G89">
        <v>0.122254</v>
      </c>
      <c r="K89">
        <f>PnL((($D$7*(1+K$2))+($D$5-$D$6)),$E89,(RiskSlide!$A$7),($G89+K$3),((RiskSlide!$A$12)/260),$C89,$B89,RiskSlide!$H118)</f>
        <v>-806.42528570408558</v>
      </c>
      <c r="L89">
        <f>PnL((($D$7*(1+L$2))+($D$5-$D$6)),$E89,(RiskSlide!$A$7),($G89+L$3),((RiskSlide!$A$12)/260),$C89,$B89,RiskSlide!$H118)</f>
        <v>-885.11316002756826</v>
      </c>
      <c r="M89">
        <f>PnL((($D$7*(1+M$2))+($D$5-$D$6)),$E89,(RiskSlide!$A$7),($G89+M$3),((RiskSlide!$A$12)/260),$C89,$B89,RiskSlide!$H118)</f>
        <v>-903.57009749599456</v>
      </c>
      <c r="N89">
        <f>PnL((($D$7*(1+N$2))+($D$5-$D$6)),$E89,(RiskSlide!$A$7),($G89+N$3),((RiskSlide!$A$12)/260),$C89,$B89,RiskSlide!$H118)</f>
        <v>-904.2342275925588</v>
      </c>
      <c r="O89">
        <f>PnL((($D$7*(1+O$2))+($D$5-$D$6)),$E89,(RiskSlide!$A$7),($G89+O$3),((RiskSlide!$A$12)/260),$C89,$B89,RiskSlide!$H118)</f>
        <v>-904.70004511387356</v>
      </c>
      <c r="P89">
        <f>PnL((($D$7*(1+P$2))+($D$5-$D$6)),$E89,(RiskSlide!$A$7),($G89+P$3),((RiskSlide!$A$12)/260),$C89,$B89,RiskSlide!$H118)</f>
        <v>-905.01234878691309</v>
      </c>
      <c r="Q89">
        <f>PnL((($D$7*(1+Q$2))+($D$5-$D$6)),$E89,(RiskSlide!$A$7),($G89+Q$3),((RiskSlide!$A$12)/260),$C89,$B89,RiskSlide!$H118)</f>
        <v>-905.2109038085016</v>
      </c>
      <c r="R89">
        <f>PnL((($D$7*(1+R$2))+($D$5-$D$6)),$E89,(RiskSlide!$A$7),($G89+R$3),((RiskSlide!$A$12)/260),$C89,$B89,RiskSlide!$H118)</f>
        <v>-905.45209589270905</v>
      </c>
      <c r="S89">
        <f>PnL((($D$7*(1+S$2))+($D$5-$D$6)),$E89,(RiskSlide!$A$7),($G89+S$3),((RiskSlide!$A$12)/260),$C89,$B89,RiskSlide!$H118)</f>
        <v>-905.45211530183565</v>
      </c>
      <c r="T89">
        <f>PnL((($D$7*(1+T$2))+($D$5-$D$6)),$E89,(RiskSlide!$A$7),($G89+T$3),((RiskSlide!$A$12)/260),$C89,$B89,RiskSlide!$H118)</f>
        <v>-335.22731645433055</v>
      </c>
      <c r="U89">
        <f>PnL((($D$7*(1+U$2))+($D$5-$D$6)),$E89,(RiskSlide!$A$7),($G89+U$3),((RiskSlide!$A$12)/260),$C89,$B89,RiskSlide!$H118)</f>
        <v>-642.04664417174513</v>
      </c>
      <c r="V89">
        <f>PnL((($D$7*(1+V$2))+($D$5-$D$6)),$E89,(RiskSlide!$A$7),($G89+V$3),((RiskSlide!$A$12)/260),$C89,$B89,RiskSlide!$H118)</f>
        <v>-812.69002329996874</v>
      </c>
      <c r="W89">
        <f>PnL((($D$7*(1+W$2))+($D$5-$D$6)),$E89,(RiskSlide!$A$7),($G89+W$3),((RiskSlide!$A$12)/260),$C89,$B89,RiskSlide!$H118)</f>
        <v>-827.98770225785324</v>
      </c>
      <c r="X89">
        <f>PnL((($D$7*(1+X$2))+($D$5-$D$6)),$E89,(RiskSlide!$A$7),($G89+X$3),((RiskSlide!$A$12)/260),$C89,$B89,RiskSlide!$H118)</f>
        <v>-841.81442801118249</v>
      </c>
      <c r="Y89">
        <f>PnL((($D$7*(1+Y$2))+($D$5-$D$6)),$E89,(RiskSlide!$A$7),($G89+Y$3),((RiskSlide!$A$12)/260),$C89,$B89,RiskSlide!$H118)</f>
        <v>-854.15126636527816</v>
      </c>
      <c r="Z89">
        <f>PnL((($D$7*(1+Z$2))+($D$5-$D$6)),$E89,(RiskSlide!$A$7),($G89+Z$3),((RiskSlide!$A$12)/260),$C89,$B89,RiskSlide!$H118)</f>
        <v>-864.99260102930998</v>
      </c>
      <c r="AA89">
        <f>PnL((($D$7*(1+AA$2))+($D$5-$D$6)),$E89,(RiskSlide!$A$7),($G89+AA$3),((RiskSlide!$A$12)/260),$C89,$B89,RiskSlide!$H118)</f>
        <v>-904.11406848574347</v>
      </c>
      <c r="AB89">
        <f>PnL((($D$7*(1+AB$2))+($D$5-$D$6)),$E89,(RiskSlide!$A$7),($G89+AB$3),((RiskSlide!$A$12)/260),$C89,$B89,RiskSlide!$H118)</f>
        <v>-905.45211530183565</v>
      </c>
      <c r="AC89">
        <f>PnL((($D$7*(1+AC$2))+($D$5-$D$6)),$E89,(RiskSlide!$A$7),($G89+AC$3),((RiskSlide!$A$12)/260),$C89,$B89,RiskSlide!$H118)</f>
        <v>681.73016078611113</v>
      </c>
      <c r="AD89">
        <f>PnL((($D$7*(1+AD$2))+($D$5-$D$6)),$E89,(RiskSlide!$A$7),($G89+AD$3),((RiskSlide!$A$12)/260),$C89,$B89,RiskSlide!$H118)</f>
        <v>175.16993812594137</v>
      </c>
      <c r="AE89">
        <f>PnL((($D$7*(1+AE$2))+($D$5-$D$6)),$E89,(RiskSlide!$A$7),($G89+AE$3),((RiskSlide!$A$12)/260),$C89,$B89,RiskSlide!$H118)</f>
        <v>-213.93700258155945</v>
      </c>
      <c r="AF89">
        <f>PnL((($D$7*(1+AF$2))+($D$5-$D$6)),$E89,(RiskSlide!$A$7),($G89+AF$3),((RiskSlide!$A$12)/260),$C89,$B89,RiskSlide!$H118)</f>
        <v>-260.86666291365646</v>
      </c>
      <c r="AG89">
        <f>PnL((($D$7*(1+AG$2))+($D$5-$D$6)),$E89,(RiskSlide!$A$7),($G89+AG$3),((RiskSlide!$A$12)/260),$C89,$B89,RiskSlide!$H118)</f>
        <v>-307.27506466149919</v>
      </c>
      <c r="AH89">
        <f>PnL((($D$7*(1+AH$2))+($D$5-$D$6)),$E89,(RiskSlide!$A$7),($G89+AH$3),((RiskSlide!$A$12)/260),$C89,$B89,RiskSlide!$H118)</f>
        <v>-353.10236795352523</v>
      </c>
      <c r="AI89">
        <f>PnL((($D$7*(1+AI$2))+($D$5-$D$6)),$E89,(RiskSlide!$A$7),($G89+AI$3),((RiskSlide!$A$12)/260),$C89,$B89,RiskSlide!$H118)</f>
        <v>-398.27962183023544</v>
      </c>
      <c r="AJ89">
        <f>PnL((($D$7*(1+AJ$2))+($D$5-$D$6)),$E89,(RiskSlide!$A$7),($G89+AJ$3),((RiskSlide!$A$12)/260),$C89,$B89,RiskSlide!$H118)</f>
        <v>-723.27029775074436</v>
      </c>
      <c r="AK89">
        <f>PnL((($D$7*(1+AK$2))+($D$5-$D$6)),$E89,(RiskSlide!$A$7),($G89+AK$3),((RiskSlide!$A$12)/260),$C89,$B89,RiskSlide!$H118)</f>
        <v>-905.2590720617419</v>
      </c>
      <c r="AL89">
        <f>PnL((($D$7*(1+AL$2))+($D$5-$D$6)),$E89,(RiskSlide!$A$7),($G89+AL$3),((RiskSlide!$A$12)/260),$C89,$B89,RiskSlide!$H118)</f>
        <v>863.25901906339482</v>
      </c>
      <c r="AM89">
        <f>PnL((($D$7*(1+AM$2))+($D$5-$D$6)),$E89,(RiskSlide!$A$7),($G89+AM$3),((RiskSlide!$A$12)/260),$C89,$B89,RiskSlide!$H118)</f>
        <v>342.12018709607719</v>
      </c>
      <c r="AN89">
        <f>PnL((($D$7*(1+AN$2))+($D$5-$D$6)),$E89,(RiskSlide!$A$7),($G89+AN$3),((RiskSlide!$A$12)/260),$C89,$B89,RiskSlide!$H118)</f>
        <v>-65.273267696477433</v>
      </c>
      <c r="AO89">
        <f>PnL((($D$7*(1+AO$2))+($D$5-$D$6)),$E89,(RiskSlide!$A$7),($G89+AO$3),((RiskSlide!$A$12)/260),$C89,$B89,RiskSlide!$H118)</f>
        <v>-115.17356791694624</v>
      </c>
      <c r="AP89">
        <f>PnL((($D$7*(1+AP$2))+($D$5-$D$6)),$E89,(RiskSlide!$A$7),($G89+AP$3),((RiskSlide!$A$12)/260),$C89,$B89,RiskSlide!$H118)</f>
        <v>-164.75769476786013</v>
      </c>
      <c r="AQ89">
        <f>PnL((($D$7*(1+AQ$2))+($D$5-$D$6)),$E89,(RiskSlide!$A$7),($G89+AQ$3),((RiskSlide!$A$12)/260),$C89,$B89,RiskSlide!$H118)</f>
        <v>-213.98748746756837</v>
      </c>
      <c r="AR89">
        <f>PnL((($D$7*(1+AR$2))+($D$5-$D$6)),$E89,(RiskSlide!$A$7),($G89+AR$3),((RiskSlide!$A$12)/260),$C89,$B89,RiskSlide!$H118)</f>
        <v>-262.81854432650107</v>
      </c>
      <c r="AS89">
        <f>PnL((($D$7*(1+AS$2))+($D$5-$D$6)),$E89,(RiskSlide!$A$7),($G89+AS$3),((RiskSlide!$A$12)/260),$C89,$B89,RiskSlide!$H118)</f>
        <v>-630.30275870357002</v>
      </c>
      <c r="AT89">
        <f>PnL((($D$7*(1+AT$2))+($D$5-$D$6)),$E89,(RiskSlide!$A$7),($G89+AT$3),((RiskSlide!$A$12)/260),$C89,$B89,RiskSlide!$H118)</f>
        <v>-903.25379904722922</v>
      </c>
      <c r="AU89">
        <f>PnL((($D$7*(1+AU$2))+($D$5-$D$6)),$E89,(RiskSlide!$A$7),($G89+AU$3),((RiskSlide!$A$12)/260),$C89,$B89,RiskSlide!$H118)</f>
        <v>1057.7996280137768</v>
      </c>
      <c r="AV89">
        <f>PnL((($D$7*(1+AV$2))+($D$5-$D$6)),$E89,(RiskSlide!$A$7),($G89+AV$3),((RiskSlide!$A$12)/260),$C89,$B89,RiskSlide!$H118)</f>
        <v>525.56456281564579</v>
      </c>
      <c r="AW89">
        <f>PnL((($D$7*(1+AW$2))+($D$5-$D$6)),$E89,(RiskSlide!$A$7),($G89+AW$3),((RiskSlide!$A$12)/260),$C89,$B89,RiskSlide!$H118)</f>
        <v>104.2160258774004</v>
      </c>
      <c r="AX89">
        <f>PnL((($D$7*(1+AX$2))+($D$5-$D$6)),$E89,(RiskSlide!$A$7),($G89+AX$3),((RiskSlide!$A$12)/260),$C89,$B89,RiskSlide!$H118)</f>
        <v>52.032392381130421</v>
      </c>
      <c r="AY89">
        <f>PnL((($D$7*(1+AY$2))+($D$5-$D$6)),$E89,(RiskSlide!$A$7),($G89+AY$3),((RiskSlide!$A$12)/260),$C89,$B89,RiskSlide!$H118)</f>
        <v>0</v>
      </c>
      <c r="AZ89">
        <f>PnL((($D$7*(1+AZ$2))+($D$5-$D$6)),$E89,(RiskSlide!$A$7),($G89+AZ$3),((RiskSlide!$A$12)/260),$C89,$B89,RiskSlide!$H118)</f>
        <v>-51.862202867346241</v>
      </c>
      <c r="BA89">
        <f>PnL((($D$7*(1+BA$2))+($D$5-$D$6)),$E89,(RiskSlide!$A$7),($G89+BA$3),((RiskSlide!$A$12)/260),$C89,$B89,RiskSlide!$H118)</f>
        <v>-103.5320216468449</v>
      </c>
      <c r="BB89">
        <f>PnL((($D$7*(1+BB$2))+($D$5-$D$6)),$E89,(RiskSlide!$A$7),($G89+BB$3),((RiskSlide!$A$12)/260),$C89,$B89,RiskSlide!$H118)</f>
        <v>-505.40858800669071</v>
      </c>
      <c r="BC89">
        <f>PnL((($D$7*(1+BC$2))+($D$5-$D$6)),$E89,(RiskSlide!$A$7),($G89+BC$3),((RiskSlide!$A$12)/260),$C89,$B89,RiskSlide!$H118)</f>
        <v>-889.93849910809001</v>
      </c>
      <c r="BD89">
        <f>PnL((($D$7*(1+BD$2))+($D$5-$D$6)),$E89,(RiskSlide!$A$7),($G89+BD$3),((RiskSlide!$A$12)/260),$C89,$B89,RiskSlide!$H118)</f>
        <v>1265.4413289893682</v>
      </c>
      <c r="BE89">
        <f>PnL((($D$7*(1+BE$2))+($D$5-$D$6)),$E89,(RiskSlide!$A$7),($G89+BE$3),((RiskSlide!$A$12)/260),$C89,$B89,RiskSlide!$H118)</f>
        <v>725.77568081747472</v>
      </c>
      <c r="BF89">
        <f>PnL((($D$7*(1+BF$2))+($D$5-$D$6)),$E89,(RiskSlide!$A$7),($G89+BF$3),((RiskSlide!$A$12)/260),$C89,$B89,RiskSlide!$H118)</f>
        <v>295.2299915204776</v>
      </c>
      <c r="BG89">
        <f>PnL((($D$7*(1+BG$2))+($D$5-$D$6)),$E89,(RiskSlide!$A$7),($G89+BG$3),((RiskSlide!$A$12)/260),$C89,$B89,RiskSlide!$H118)</f>
        <v>241.54558476702732</v>
      </c>
      <c r="BH89">
        <f>PnL((($D$7*(1+BH$2))+($D$5-$D$6)),$E89,(RiskSlide!$A$7),($G89+BH$3),((RiskSlide!$A$12)/260),$C89,$B89,RiskSlide!$H118)</f>
        <v>187.90346270964733</v>
      </c>
      <c r="BI89">
        <f>PnL((($D$7*(1+BI$2))+($D$5-$D$6)),$E89,(RiskSlide!$A$7),($G89+BI$3),((RiskSlide!$A$12)/260),$C89,$B89,RiskSlide!$H118)</f>
        <v>134.30912627542853</v>
      </c>
      <c r="BJ89">
        <f>PnL((($D$7*(1+BJ$2))+($D$5-$D$6)),$E89,(RiskSlide!$A$7),($G89+BJ$3),((RiskSlide!$A$12)/260),$C89,$B89,RiskSlide!$H118)</f>
        <v>80.769041080895931</v>
      </c>
      <c r="BK89">
        <f>PnL((($D$7*(1+BK$2))+($D$5-$D$6)),$E89,(RiskSlide!$A$7),($G89+BK$3),((RiskSlide!$A$12)/260),$C89,$B89,RiskSlide!$H118)</f>
        <v>-344.24555215873625</v>
      </c>
      <c r="BL89">
        <f>PnL((($D$7*(1+BL$2))+($D$5-$D$6)),$E89,(RiskSlide!$A$7),($G89+BL$3),((RiskSlide!$A$12)/260),$C89,$B89,RiskSlide!$H118)</f>
        <v>-834.84380403184844</v>
      </c>
      <c r="BM89">
        <f>PnL((($D$7*(1+BM$2))+($D$5-$D$6)),$E89,(RiskSlide!$A$7),($G89+BM$3),((RiskSlide!$A$12)/260),$C89,$B89,RiskSlide!$H118)</f>
        <v>1486.2012425556827</v>
      </c>
      <c r="BN89">
        <f>PnL((($D$7*(1+BN$2))+($D$5-$D$6)),$E89,(RiskSlide!$A$7),($G89+BN$3),((RiskSlide!$A$12)/260),$C89,$B89,RiskSlide!$H118)</f>
        <v>942.87395637910549</v>
      </c>
      <c r="BO89">
        <f>PnL((($D$7*(1+BO$2))+($D$5-$D$6)),$E89,(RiskSlide!$A$7),($G89+BO$3),((RiskSlide!$A$12)/260),$C89,$B89,RiskSlide!$H118)</f>
        <v>508.14514166996787</v>
      </c>
      <c r="BP89">
        <f>PnL((($D$7*(1+BP$2))+($D$5-$D$6)),$E89,(RiskSlide!$A$7),($G89+BP$3),((RiskSlide!$A$12)/260),$C89,$B89,RiskSlide!$H118)</f>
        <v>453.80131915130733</v>
      </c>
      <c r="BQ89">
        <f>PnL((($D$7*(1+BQ$2))+($D$5-$D$6)),$E89,(RiskSlide!$A$7),($G89+BQ$3),((RiskSlide!$A$12)/260),$C89,$B89,RiskSlide!$H118)</f>
        <v>399.45711833047426</v>
      </c>
      <c r="BR89">
        <f>PnL((($D$7*(1+BR$2))+($D$5-$D$6)),$E89,(RiskSlide!$A$7),($G89+BR$3),((RiskSlide!$A$12)/260),$C89,$B89,RiskSlide!$H118)</f>
        <v>345.11262424131246</v>
      </c>
      <c r="BS89">
        <f>PnL((($D$7*(1+BS$2))+($D$5-$D$6)),$E89,(RiskSlide!$A$7),($G89+BS$3),((RiskSlide!$A$12)/260),$C89,$B89,RiskSlide!$H118)</f>
        <v>290.76793148378215</v>
      </c>
      <c r="BT89">
        <f>PnL((($D$7*(1+BT$2))+($D$5-$D$6)),$E89,(RiskSlide!$A$7),($G89+BT$3),((RiskSlide!$A$12)/260),$C89,$B89,RiskSlide!$H118)</f>
        <v>-143.97963332068002</v>
      </c>
      <c r="BU89">
        <f>PnL((($D$7*(1+BU$2))+($D$5-$D$6)),$E89,(RiskSlide!$A$7),($G89+BU$3),((RiskSlide!$A$12)/260),$C89,$B89,RiskSlide!$H118)</f>
        <v>-687.02274450067762</v>
      </c>
      <c r="BV89">
        <f>PnL((($D$7*(1+BV$2))+($D$5-$D$6)),$E89,(RiskSlide!$A$7),($G89+BV$3),((RiskSlide!$A$12)/260),$C89,$B89,RiskSlide!$H118)</f>
        <v>3704.3638065618043</v>
      </c>
      <c r="BW89">
        <f>PnL((($D$7*(1+BW$2))+($D$5-$D$6)),$E89,(RiskSlide!$A$7),($G89+BW$3),((RiskSlide!$A$12)/260),$C89,$B89,RiskSlide!$H118)</f>
        <v>3254.5878683721357</v>
      </c>
      <c r="BX89">
        <f>PnL((($D$7*(1+BX$2))+($D$5-$D$6)),$E89,(RiskSlide!$A$7),($G89+BX$3),((RiskSlide!$A$12)/260),$C89,$B89,RiskSlide!$H118)</f>
        <v>2942.1049104766835</v>
      </c>
      <c r="BY89">
        <f>PnL((($D$7*(1+BY$2))+($D$5-$D$6)),$E89,(RiskSlide!$A$7),($G89+BY$3),((RiskSlide!$A$12)/260),$C89,$B89,RiskSlide!$H118)</f>
        <v>2907.6508786511167</v>
      </c>
      <c r="BZ89">
        <f>PnL((($D$7*(1+BZ$2))+($D$5-$D$6)),$E89,(RiskSlide!$A$7),($G89+BZ$3),((RiskSlide!$A$12)/260),$C89,$B89,RiskSlide!$H118)</f>
        <v>2874.5097811140849</v>
      </c>
      <c r="CA89">
        <f>PnL((($D$7*(1+CA$2))+($D$5-$D$6)),$E89,(RiskSlide!$A$7),($G89+CA$3),((RiskSlide!$A$12)/260),$C89,$B89,RiskSlide!$H118)</f>
        <v>2842.7896198707513</v>
      </c>
      <c r="CB89">
        <f>PnL((($D$7*(1+CB$2))+($D$5-$D$6)),$E89,(RiskSlide!$A$7),($G89+CB$3),((RiskSlide!$A$12)/260),$C89,$B89,RiskSlide!$H118)</f>
        <v>2812.6066834570847</v>
      </c>
      <c r="CC89">
        <f>PnL((($D$7*(1+CC$2))+($D$5-$D$6)),$E89,(RiskSlide!$A$7),($G89+CC$3),((RiskSlide!$A$12)/260),$C89,$B89,RiskSlide!$H118)</f>
        <v>2642.1104259707417</v>
      </c>
      <c r="CD89">
        <f>PnL((($D$7*(1+CD$2))+($D$5-$D$6)),$E89,(RiskSlide!$A$7),($G89+CD$3),((RiskSlide!$A$12)/260),$C89,$B89,RiskSlide!$H118)</f>
        <v>2609.6893557319445</v>
      </c>
      <c r="CE89">
        <f>PnL((($D$7*(1+CE$2))+($D$5-$D$6)),$E89,(RiskSlide!$A$7),($G89+CE$3),((RiskSlide!$A$12)/260),$C89,$B89,RiskSlide!$H118)</f>
        <v>7377.2010889792055</v>
      </c>
      <c r="CF89">
        <f>PnL((($D$7*(1+CF$2))+($D$5-$D$6)),$E89,(RiskSlide!$A$7),($G89+CF$3),((RiskSlide!$A$12)/260),$C89,$B89,RiskSlide!$H118)</f>
        <v>7171.3575763044391</v>
      </c>
      <c r="CG89">
        <f>PnL((($D$7*(1+CG$2))+($D$5-$D$6)),$E89,(RiskSlide!$A$7),($G89+CG$3),((RiskSlide!$A$12)/260),$C89,$B89,RiskSlide!$H118)</f>
        <v>7087.4889405271861</v>
      </c>
      <c r="CH89">
        <f>PnL((($D$7*(1+CH$2))+($D$5-$D$6)),$E89,(RiskSlide!$A$7),($G89+CH$3),((RiskSlide!$A$12)/260),$C89,$B89,RiskSlide!$H118)</f>
        <v>7081.9675736524177</v>
      </c>
      <c r="CI89">
        <f>PnL((($D$7*(1+CI$2))+($D$5-$D$6)),$E89,(RiskSlide!$A$7),($G89+CI$3),((RiskSlide!$A$12)/260),$C89,$B89,RiskSlide!$H118)</f>
        <v>7077.4029708965427</v>
      </c>
      <c r="CJ89">
        <f>PnL((($D$7*(1+CJ$2))+($D$5-$D$6)),$E89,(RiskSlide!$A$7),($G89+CJ$3),((RiskSlide!$A$12)/260),$C89,$B89,RiskSlide!$H118)</f>
        <v>7073.719846982709</v>
      </c>
      <c r="CK89">
        <f>PnL((($D$7*(1+CK$2))+($D$5-$D$6)),$E89,(RiskSlide!$A$7),($G89+CK$3),((RiskSlide!$A$12)/260),$C89,$B89,RiskSlide!$H118)</f>
        <v>7070.8317034699066</v>
      </c>
      <c r="CL89">
        <f>PnL((($D$7*(1+CL$2))+($D$5-$D$6)),$E89,(RiskSlide!$A$7),($G89+CL$3),((RiskSlide!$A$12)/260),$C89,$B89,RiskSlide!$H118)</f>
        <v>7064.364543184678</v>
      </c>
      <c r="CM89">
        <f>PnL((($D$7*(1+CM$2))+($D$5-$D$6)),$E89,(RiskSlide!$A$7),($G89+CM$3),((RiskSlide!$A$12)/260),$C89,$B89,RiskSlide!$H118)</f>
        <v>7064.3393550546361</v>
      </c>
    </row>
    <row r="90" spans="1:91" x14ac:dyDescent="0.25">
      <c r="A90" t="s">
        <v>85</v>
      </c>
      <c r="B90">
        <v>-12</v>
      </c>
      <c r="C90">
        <v>0</v>
      </c>
      <c r="E90">
        <v>1795</v>
      </c>
      <c r="F90">
        <v>3.5000000000000001E-3</v>
      </c>
      <c r="G90">
        <v>0.122254</v>
      </c>
      <c r="K90">
        <f>PnL((($D$7*(1+K$2))+($D$5-$D$6)),$E90,(RiskSlide!$A$7),($G90+K$3),((RiskSlide!$A$12)/260),$C90,$B90,RiskSlide!$H119)</f>
        <v>-97234.496571551063</v>
      </c>
      <c r="L90">
        <f>PnL((($D$7*(1+L$2))+($D$5-$D$6)),$E90,(RiskSlide!$A$7),($G90+L$3),((RiskSlide!$A$12)/260),$C90,$B90,RiskSlide!$H119)</f>
        <v>-96290.242079669086</v>
      </c>
      <c r="M90">
        <f>PnL((($D$7*(1+M$2))+($D$5-$D$6)),$E90,(RiskSlide!$A$7),($G90+M$3),((RiskSlide!$A$12)/260),$C90,$B90,RiskSlide!$H119)</f>
        <v>-96068.758830048042</v>
      </c>
      <c r="N90">
        <f>PnL((($D$7*(1+N$2))+($D$5-$D$6)),$E90,(RiskSlide!$A$7),($G90+N$3),((RiskSlide!$A$12)/260),$C90,$B90,RiskSlide!$H119)</f>
        <v>-96060.789268889319</v>
      </c>
      <c r="O90">
        <f>PnL((($D$7*(1+O$2))+($D$5-$D$6)),$E90,(RiskSlide!$A$7),($G90+O$3),((RiskSlide!$A$12)/260),$C90,$B90,RiskSlide!$H119)</f>
        <v>-96055.199458633608</v>
      </c>
      <c r="P90">
        <f>PnL((($D$7*(1+P$2))+($D$5-$D$6)),$E90,(RiskSlide!$A$7),($G90+P$3),((RiskSlide!$A$12)/260),$C90,$B90,RiskSlide!$H119)</f>
        <v>-96051.451814557047</v>
      </c>
      <c r="Q90">
        <f>PnL((($D$7*(1+Q$2))+($D$5-$D$6)),$E90,(RiskSlide!$A$7),($G90+Q$3),((RiskSlide!$A$12)/260),$C90,$B90,RiskSlide!$H119)</f>
        <v>-96049.069154297875</v>
      </c>
      <c r="R90">
        <f>PnL((($D$7*(1+R$2))+($D$5-$D$6)),$E90,(RiskSlide!$A$7),($G90+R$3),((RiskSlide!$A$12)/260),$C90,$B90,RiskSlide!$H119)</f>
        <v>-96046.174849287403</v>
      </c>
      <c r="S90">
        <f>PnL((($D$7*(1+S$2))+($D$5-$D$6)),$E90,(RiskSlide!$A$7),($G90+S$3),((RiskSlide!$A$12)/260),$C90,$B90,RiskSlide!$H119)</f>
        <v>-96046.17461637799</v>
      </c>
      <c r="T90">
        <f>PnL((($D$7*(1+T$2))+($D$5-$D$6)),$E90,(RiskSlide!$A$7),($G90+T$3),((RiskSlide!$A$12)/260),$C90,$B90,RiskSlide!$H119)</f>
        <v>-49433.072202548145</v>
      </c>
      <c r="U90">
        <f>PnL((($D$7*(1+U$2))+($D$5-$D$6)),$E90,(RiskSlide!$A$7),($G90+U$3),((RiskSlide!$A$12)/260),$C90,$B90,RiskSlide!$H119)</f>
        <v>-45751.240269939306</v>
      </c>
      <c r="V90">
        <f>PnL((($D$7*(1+V$2))+($D$5-$D$6)),$E90,(RiskSlide!$A$7),($G90+V$3),((RiskSlide!$A$12)/260),$C90,$B90,RiskSlide!$H119)</f>
        <v>-43703.519720400436</v>
      </c>
      <c r="W90">
        <f>PnL((($D$7*(1+W$2))+($D$5-$D$6)),$E90,(RiskSlide!$A$7),($G90+W$3),((RiskSlide!$A$12)/260),$C90,$B90,RiskSlide!$H119)</f>
        <v>-43519.947572905861</v>
      </c>
      <c r="X90">
        <f>PnL((($D$7*(1+X$2))+($D$5-$D$6)),$E90,(RiskSlide!$A$7),($G90+X$3),((RiskSlide!$A$12)/260),$C90,$B90,RiskSlide!$H119)</f>
        <v>-43354.026863865962</v>
      </c>
      <c r="Y90">
        <f>PnL((($D$7*(1+Y$2))+($D$5-$D$6)),$E90,(RiskSlide!$A$7),($G90+Y$3),((RiskSlide!$A$12)/260),$C90,$B90,RiskSlide!$H119)</f>
        <v>-43205.984803616775</v>
      </c>
      <c r="Z90">
        <f>PnL((($D$7*(1+Z$2))+($D$5-$D$6)),$E90,(RiskSlide!$A$7),($G90+Z$3),((RiskSlide!$A$12)/260),$C90,$B90,RiskSlide!$H119)</f>
        <v>-43075.888787648277</v>
      </c>
      <c r="AA90">
        <f>PnL((($D$7*(1+AA$2))+($D$5-$D$6)),$E90,(RiskSlide!$A$7),($G90+AA$3),((RiskSlide!$A$12)/260),$C90,$B90,RiskSlide!$H119)</f>
        <v>-42606.431178171035</v>
      </c>
      <c r="AB90">
        <f>PnL((($D$7*(1+AB$2))+($D$5-$D$6)),$E90,(RiskSlide!$A$7),($G90+AB$3),((RiskSlide!$A$12)/260),$C90,$B90,RiskSlide!$H119)</f>
        <v>-42590.374616378089</v>
      </c>
      <c r="AC90">
        <f>PnL((($D$7*(1+AC$2))+($D$5-$D$6)),$E90,(RiskSlide!$A$7),($G90+AC$3),((RiskSlide!$A$12)/260),$C90,$B90,RiskSlide!$H119)</f>
        <v>-18871.92192943344</v>
      </c>
      <c r="AD90">
        <f>PnL((($D$7*(1+AD$2))+($D$5-$D$6)),$E90,(RiskSlide!$A$7),($G90+AD$3),((RiskSlide!$A$12)/260),$C90,$B90,RiskSlide!$H119)</f>
        <v>-12793.199257511333</v>
      </c>
      <c r="AE90">
        <f>PnL((($D$7*(1+AE$2))+($D$5-$D$6)),$E90,(RiskSlide!$A$7),($G90+AE$3),((RiskSlide!$A$12)/260),$C90,$B90,RiskSlide!$H119)</f>
        <v>-8123.915969021391</v>
      </c>
      <c r="AF90">
        <f>PnL((($D$7*(1+AF$2))+($D$5-$D$6)),$E90,(RiskSlide!$A$7),($G90+AF$3),((RiskSlide!$A$12)/260),$C90,$B90,RiskSlide!$H119)</f>
        <v>-7560.7600450362952</v>
      </c>
      <c r="AG90">
        <f>PnL((($D$7*(1+AG$2))+($D$5-$D$6)),$E90,(RiskSlide!$A$7),($G90+AG$3),((RiskSlide!$A$12)/260),$C90,$B90,RiskSlide!$H119)</f>
        <v>-7003.8592240622165</v>
      </c>
      <c r="AH90">
        <f>PnL((($D$7*(1+AH$2))+($D$5-$D$6)),$E90,(RiskSlide!$A$7),($G90+AH$3),((RiskSlide!$A$12)/260),$C90,$B90,RiskSlide!$H119)</f>
        <v>-6453.9315845577676</v>
      </c>
      <c r="AI90">
        <f>PnL((($D$7*(1+AI$2))+($D$5-$D$6)),$E90,(RiskSlide!$A$7),($G90+AI$3),((RiskSlide!$A$12)/260),$C90,$B90,RiskSlide!$H119)</f>
        <v>-5911.8045380371768</v>
      </c>
      <c r="AJ90">
        <f>PnL((($D$7*(1+AJ$2))+($D$5-$D$6)),$E90,(RiskSlide!$A$7),($G90+AJ$3),((RiskSlide!$A$12)/260),$C90,$B90,RiskSlide!$H119)</f>
        <v>-2011.916426991138</v>
      </c>
      <c r="AK90">
        <f>PnL((($D$7*(1+AK$2))+($D$5-$D$6)),$E90,(RiskSlide!$A$7),($G90+AK$3),((RiskSlide!$A$12)/260),$C90,$B90,RiskSlide!$H119)</f>
        <v>171.94886474062514</v>
      </c>
      <c r="AL90">
        <f>PnL((($D$7*(1+AL$2))+($D$5-$D$6)),$E90,(RiskSlide!$A$7),($G90+AL$3),((RiskSlide!$A$12)/260),$C90,$B90,RiskSlide!$H119)</f>
        <v>-15704.688228760824</v>
      </c>
      <c r="AM90">
        <f>PnL((($D$7*(1+AM$2))+($D$5-$D$6)),$E90,(RiskSlide!$A$7),($G90+AM$3),((RiskSlide!$A$12)/260),$C90,$B90,RiskSlide!$H119)</f>
        <v>-9451.0222451530808</v>
      </c>
      <c r="AN90">
        <f>PnL((($D$7*(1+AN$2))+($D$5-$D$6)),$E90,(RiskSlide!$A$7),($G90+AN$3),((RiskSlide!$A$12)/260),$C90,$B90,RiskSlide!$H119)</f>
        <v>-4562.3007876424253</v>
      </c>
      <c r="AO90">
        <f>PnL((($D$7*(1+AO$2))+($D$5-$D$6)),$E90,(RiskSlide!$A$7),($G90+AO$3),((RiskSlide!$A$12)/260),$C90,$B90,RiskSlide!$H119)</f>
        <v>-3963.497184996595</v>
      </c>
      <c r="AP90">
        <f>PnL((($D$7*(1+AP$2))+($D$5-$D$6)),$E90,(RiskSlide!$A$7),($G90+AP$3),((RiskSlide!$A$12)/260),$C90,$B90,RiskSlide!$H119)</f>
        <v>-3368.4876627856283</v>
      </c>
      <c r="AQ90">
        <f>PnL((($D$7*(1+AQ$2))+($D$5-$D$6)),$E90,(RiskSlide!$A$7),($G90+AQ$3),((RiskSlide!$A$12)/260),$C90,$B90,RiskSlide!$H119)</f>
        <v>-2777.7301503891977</v>
      </c>
      <c r="AR90">
        <f>PnL((($D$7*(1+AR$2))+($D$5-$D$6)),$E90,(RiskSlide!$A$7),($G90+AR$3),((RiskSlide!$A$12)/260),$C90,$B90,RiskSlide!$H119)</f>
        <v>-2191.7574680820053</v>
      </c>
      <c r="AS90">
        <f>PnL((($D$7*(1+AS$2))+($D$5-$D$6)),$E90,(RiskSlide!$A$7),($G90+AS$3),((RiskSlide!$A$12)/260),$C90,$B90,RiskSlide!$H119)</f>
        <v>2218.053104442788</v>
      </c>
      <c r="AT90">
        <f>PnL((($D$7*(1+AT$2))+($D$5-$D$6)),$E90,(RiskSlide!$A$7),($G90+AT$3),((RiskSlide!$A$12)/260),$C90,$B90,RiskSlide!$H119)</f>
        <v>5493.4655885667325</v>
      </c>
      <c r="AU90">
        <f>PnL((($D$7*(1+AU$2))+($D$5-$D$6)),$E90,(RiskSlide!$A$7),($G90+AU$3),((RiskSlide!$A$12)/260),$C90,$B90,RiskSlide!$H119)</f>
        <v>-12693.595536165458</v>
      </c>
      <c r="AV90">
        <f>PnL((($D$7*(1+AV$2))+($D$5-$D$6)),$E90,(RiskSlide!$A$7),($G90+AV$3),((RiskSlide!$A$12)/260),$C90,$B90,RiskSlide!$H119)</f>
        <v>-6306.7747537878176</v>
      </c>
      <c r="AW90">
        <f>PnL((($D$7*(1+AW$2))+($D$5-$D$6)),$E90,(RiskSlide!$A$7),($G90+AW$3),((RiskSlide!$A$12)/260),$C90,$B90,RiskSlide!$H119)</f>
        <v>-1250.592310528873</v>
      </c>
      <c r="AX90">
        <f>PnL((($D$7*(1+AX$2))+($D$5-$D$6)),$E90,(RiskSlide!$A$7),($G90+AX$3),((RiskSlide!$A$12)/260),$C90,$B90,RiskSlide!$H119)</f>
        <v>-624.38870857349684</v>
      </c>
      <c r="AY90">
        <f>PnL((($D$7*(1+AY$2))+($D$5-$D$6)),$E90,(RiskSlide!$A$7),($G90+AY$3),((RiskSlide!$A$12)/260),$C90,$B90,RiskSlide!$H119)</f>
        <v>0</v>
      </c>
      <c r="AZ90">
        <f>PnL((($D$7*(1+AZ$2))+($D$5-$D$6)),$E90,(RiskSlide!$A$7),($G90+AZ$3),((RiskSlide!$A$12)/260),$C90,$B90,RiskSlide!$H119)</f>
        <v>622.34643440815489</v>
      </c>
      <c r="BA90">
        <f>PnL((($D$7*(1+BA$2))+($D$5-$D$6)),$E90,(RiskSlide!$A$7),($G90+BA$3),((RiskSlide!$A$12)/260),$C90,$B90,RiskSlide!$H119)</f>
        <v>1242.3842597621388</v>
      </c>
      <c r="BB90">
        <f>PnL((($D$7*(1+BB$2))+($D$5-$D$6)),$E90,(RiskSlide!$A$7),($G90+BB$3),((RiskSlide!$A$12)/260),$C90,$B90,RiskSlide!$H119)</f>
        <v>6064.9030560802203</v>
      </c>
      <c r="BC90">
        <f>PnL((($D$7*(1+BC$2))+($D$5-$D$6)),$E90,(RiskSlide!$A$7),($G90+BC$3),((RiskSlide!$A$12)/260),$C90,$B90,RiskSlide!$H119)</f>
        <v>10679.261989297038</v>
      </c>
      <c r="BD90">
        <f>PnL((($D$7*(1+BD$2))+($D$5-$D$6)),$E90,(RiskSlide!$A$7),($G90+BD$3),((RiskSlide!$A$12)/260),$C90,$B90,RiskSlide!$H119)</f>
        <v>-9839.7159478725371</v>
      </c>
      <c r="BE90">
        <f>PnL((($D$7*(1+BE$2))+($D$5-$D$6)),$E90,(RiskSlide!$A$7),($G90+BE$3),((RiskSlide!$A$12)/260),$C90,$B90,RiskSlide!$H119)</f>
        <v>-3363.7281698098832</v>
      </c>
      <c r="BF90">
        <f>PnL((($D$7*(1+BF$2))+($D$5-$D$6)),$E90,(RiskSlide!$A$7),($G90+BF$3),((RiskSlide!$A$12)/260),$C90,$B90,RiskSlide!$H119)</f>
        <v>1802.8201017540823</v>
      </c>
      <c r="BG90">
        <f>PnL((($D$7*(1+BG$2))+($D$5-$D$6)),$E90,(RiskSlide!$A$7),($G90+BG$3),((RiskSlide!$A$12)/260),$C90,$B90,RiskSlide!$H119)</f>
        <v>2447.0329827954856</v>
      </c>
      <c r="BH90">
        <f>PnL((($D$7*(1+BH$2))+($D$5-$D$6)),$E90,(RiskSlide!$A$7),($G90+BH$3),((RiskSlide!$A$12)/260),$C90,$B90,RiskSlide!$H119)</f>
        <v>3090.7384474841137</v>
      </c>
      <c r="BI90">
        <f>PnL((($D$7*(1+BI$2))+($D$5-$D$6)),$E90,(RiskSlide!$A$7),($G90+BI$3),((RiskSlide!$A$12)/260),$C90,$B90,RiskSlide!$H119)</f>
        <v>3733.8704846947394</v>
      </c>
      <c r="BJ90">
        <f>PnL((($D$7*(1+BJ$2))+($D$5-$D$6)),$E90,(RiskSlide!$A$7),($G90+BJ$3),((RiskSlide!$A$12)/260),$C90,$B90,RiskSlide!$H119)</f>
        <v>4376.3515070289941</v>
      </c>
      <c r="BK90">
        <f>PnL((($D$7*(1+BK$2))+($D$5-$D$6)),$E90,(RiskSlide!$A$7),($G90+BK$3),((RiskSlide!$A$12)/260),$C90,$B90,RiskSlide!$H119)</f>
        <v>9476.5266259047166</v>
      </c>
      <c r="BL90">
        <f>PnL((($D$7*(1+BL$2))+($D$5-$D$6)),$E90,(RiskSlide!$A$7),($G90+BL$3),((RiskSlide!$A$12)/260),$C90,$B90,RiskSlide!$H119)</f>
        <v>15363.705648381892</v>
      </c>
      <c r="BM90">
        <f>PnL((($D$7*(1+BM$2))+($D$5-$D$6)),$E90,(RiskSlide!$A$7),($G90+BM$3),((RiskSlide!$A$12)/260),$C90,$B90,RiskSlide!$H119)</f>
        <v>-7143.2549106682927</v>
      </c>
      <c r="BN90">
        <f>PnL((($D$7*(1+BN$2))+($D$5-$D$6)),$E90,(RiskSlide!$A$7),($G90+BN$3),((RiskSlide!$A$12)/260),$C90,$B90,RiskSlide!$H119)</f>
        <v>-623.32747654943432</v>
      </c>
      <c r="BO90">
        <f>PnL((($D$7*(1+BO$2))+($D$5-$D$6)),$E90,(RiskSlide!$A$7),($G90+BO$3),((RiskSlide!$A$12)/260),$C90,$B90,RiskSlide!$H119)</f>
        <v>4593.4182999604218</v>
      </c>
      <c r="BP90">
        <f>PnL((($D$7*(1+BP$2))+($D$5-$D$6)),$E90,(RiskSlide!$A$7),($G90+BP$3),((RiskSlide!$A$12)/260),$C90,$B90,RiskSlide!$H119)</f>
        <v>5245.5441701842801</v>
      </c>
      <c r="BQ90">
        <f>PnL((($D$7*(1+BQ$2))+($D$5-$D$6)),$E90,(RiskSlide!$A$7),($G90+BQ$3),((RiskSlide!$A$12)/260),$C90,$B90,RiskSlide!$H119)</f>
        <v>5897.6745800342087</v>
      </c>
      <c r="BR90">
        <f>PnL((($D$7*(1+BR$2))+($D$5-$D$6)),$E90,(RiskSlide!$A$7),($G90+BR$3),((RiskSlide!$A$12)/260),$C90,$B90,RiskSlide!$H119)</f>
        <v>6549.8085091042867</v>
      </c>
      <c r="BS90">
        <f>PnL((($D$7*(1+BS$2))+($D$5-$D$6)),$E90,(RiskSlide!$A$7),($G90+BS$3),((RiskSlide!$A$12)/260),$C90,$B90,RiskSlide!$H119)</f>
        <v>7201.9448221945822</v>
      </c>
      <c r="BT90">
        <f>PnL((($D$7*(1+BT$2))+($D$5-$D$6)),$E90,(RiskSlide!$A$7),($G90+BT$3),((RiskSlide!$A$12)/260),$C90,$B90,RiskSlide!$H119)</f>
        <v>12418.915599848197</v>
      </c>
      <c r="BU90">
        <f>PnL((($D$7*(1+BU$2))+($D$5-$D$6)),$E90,(RiskSlide!$A$7),($G90+BU$3),((RiskSlide!$A$12)/260),$C90,$B90,RiskSlide!$H119)</f>
        <v>18935.432934008099</v>
      </c>
      <c r="BV90">
        <f>PnL((($D$7*(1+BV$2))+($D$5-$D$6)),$E90,(RiskSlide!$A$7),($G90+BV$3),((RiskSlide!$A$12)/260),$C90,$B90,RiskSlide!$H119)</f>
        <v>9003.4343212582608</v>
      </c>
      <c r="BW90">
        <f>PnL((($D$7*(1+BW$2))+($D$5-$D$6)),$E90,(RiskSlide!$A$7),($G90+BW$3),((RiskSlide!$A$12)/260),$C90,$B90,RiskSlide!$H119)</f>
        <v>14400.745579534418</v>
      </c>
      <c r="BX90">
        <f>PnL((($D$7*(1+BX$2))+($D$5-$D$6)),$E90,(RiskSlide!$A$7),($G90+BX$3),((RiskSlide!$A$12)/260),$C90,$B90,RiskSlide!$H119)</f>
        <v>18150.541074279739</v>
      </c>
      <c r="BY90">
        <f>PnL((($D$7*(1+BY$2))+($D$5-$D$6)),$E90,(RiskSlide!$A$7),($G90+BY$3),((RiskSlide!$A$12)/260),$C90,$B90,RiskSlide!$H119)</f>
        <v>18563.98945618654</v>
      </c>
      <c r="BZ90">
        <f>PnL((($D$7*(1+BZ$2))+($D$5-$D$6)),$E90,(RiskSlide!$A$7),($G90+BZ$3),((RiskSlide!$A$12)/260),$C90,$B90,RiskSlide!$H119)</f>
        <v>18961.682626631056</v>
      </c>
      <c r="CA90">
        <f>PnL((($D$7*(1+CA$2))+($D$5-$D$6)),$E90,(RiskSlide!$A$7),($G90+CA$3),((RiskSlide!$A$12)/260),$C90,$B90,RiskSlide!$H119)</f>
        <v>19342.324561551028</v>
      </c>
      <c r="CB90">
        <f>PnL((($D$7*(1+CB$2))+($D$5-$D$6)),$E90,(RiskSlide!$A$7),($G90+CB$3),((RiskSlide!$A$12)/260),$C90,$B90,RiskSlide!$H119)</f>
        <v>19704.519798514906</v>
      </c>
      <c r="CC90">
        <f>PnL((($D$7*(1+CC$2))+($D$5-$D$6)),$E90,(RiskSlide!$A$7),($G90+CC$3),((RiskSlide!$A$12)/260),$C90,$B90,RiskSlide!$H119)</f>
        <v>21750.474888350971</v>
      </c>
      <c r="CD90">
        <f>PnL((($D$7*(1+CD$2))+($D$5-$D$6)),$E90,(RiskSlide!$A$7),($G90+CD$3),((RiskSlide!$A$12)/260),$C90,$B90,RiskSlide!$H119)</f>
        <v>22139.527731216607</v>
      </c>
      <c r="CE90">
        <f>PnL((($D$7*(1+CE$2))+($D$5-$D$6)),$E90,(RiskSlide!$A$7),($G90+CE$3),((RiskSlide!$A$12)/260),$C90,$B90,RiskSlide!$H119)</f>
        <v>18385.186932249417</v>
      </c>
      <c r="CF90">
        <f>PnL((($D$7*(1+CF$2))+($D$5-$D$6)),$E90,(RiskSlide!$A$7),($G90+CF$3),((RiskSlide!$A$12)/260),$C90,$B90,RiskSlide!$H119)</f>
        <v>20855.309084346678</v>
      </c>
      <c r="CG90">
        <f>PnL((($D$7*(1+CG$2))+($D$5-$D$6)),$E90,(RiskSlide!$A$7),($G90+CG$3),((RiskSlide!$A$12)/260),$C90,$B90,RiskSlide!$H119)</f>
        <v>21861.732713673671</v>
      </c>
      <c r="CH90">
        <f>PnL((($D$7*(1+CH$2))+($D$5-$D$6)),$E90,(RiskSlide!$A$7),($G90+CH$3),((RiskSlide!$A$12)/260),$C90,$B90,RiskSlide!$H119)</f>
        <v>21927.989116171069</v>
      </c>
      <c r="CI90">
        <f>PnL((($D$7*(1+CI$2))+($D$5-$D$6)),$E90,(RiskSlide!$A$7),($G90+CI$3),((RiskSlide!$A$12)/260),$C90,$B90,RiskSlide!$H119)</f>
        <v>21982.764349241465</v>
      </c>
      <c r="CJ90">
        <f>PnL((($D$7*(1+CJ$2))+($D$5-$D$6)),$E90,(RiskSlide!$A$7),($G90+CJ$3),((RiskSlide!$A$12)/260),$C90,$B90,RiskSlide!$H119)</f>
        <v>22026.961836207513</v>
      </c>
      <c r="CK90">
        <f>PnL((($D$7*(1+CK$2))+($D$5-$D$6)),$E90,(RiskSlide!$A$7),($G90+CK$3),((RiskSlide!$A$12)/260),$C90,$B90,RiskSlide!$H119)</f>
        <v>22061.61955836121</v>
      </c>
      <c r="CL90">
        <f>PnL((($D$7*(1+CL$2))+($D$5-$D$6)),$E90,(RiskSlide!$A$7),($G90+CL$3),((RiskSlide!$A$12)/260),$C90,$B90,RiskSlide!$H119)</f>
        <v>22139.225481783938</v>
      </c>
      <c r="CM90">
        <f>PnL((($D$7*(1+CM$2))+($D$5-$D$6)),$E90,(RiskSlide!$A$7),($G90+CM$3),((RiskSlide!$A$12)/260),$C90,$B90,RiskSlide!$H119)</f>
        <v>22139.527739344383</v>
      </c>
    </row>
    <row r="91" spans="1:91" x14ac:dyDescent="0.25">
      <c r="A91" t="s">
        <v>86</v>
      </c>
      <c r="B91">
        <v>9</v>
      </c>
      <c r="C91">
        <v>1</v>
      </c>
      <c r="E91">
        <v>1800</v>
      </c>
      <c r="F91">
        <v>3.5000000000000001E-3</v>
      </c>
      <c r="G91">
        <v>0.12020599999999999</v>
      </c>
      <c r="K91">
        <f>PnL((($D$7*(1+K$2))+($D$5-$D$6)),$E91,(RiskSlide!$A$7),($G91+K$3),((RiskSlide!$A$12)/260),$C91,$B91,RiskSlide!$H120)</f>
        <v>-6369.5017977729221</v>
      </c>
      <c r="L91">
        <f>PnL((($D$7*(1+L$2))+($D$5-$D$6)),$E91,(RiskSlide!$A$7),($G91+L$3),((RiskSlide!$A$12)/260),$C91,$B91,RiskSlide!$H120)</f>
        <v>-6992.7440104805919</v>
      </c>
      <c r="M91">
        <f>PnL((($D$7*(1+M$2))+($D$5-$D$6)),$E91,(RiskSlide!$A$7),($G91+M$3),((RiskSlide!$A$12)/260),$C91,$B91,RiskSlide!$H120)</f>
        <v>-7125.0381885964807</v>
      </c>
      <c r="N91">
        <f>PnL((($D$7*(1+N$2))+($D$5-$D$6)),$E91,(RiskSlide!$A$7),($G91+N$3),((RiskSlide!$A$12)/260),$C91,$B91,RiskSlide!$H120)</f>
        <v>-7129.2255729607759</v>
      </c>
      <c r="O91">
        <f>PnL((($D$7*(1+O$2))+($D$5-$D$6)),$E91,(RiskSlide!$A$7),($G91+O$3),((RiskSlide!$A$12)/260),$C91,$B91,RiskSlide!$H120)</f>
        <v>-7132.0599196710436</v>
      </c>
      <c r="P91">
        <f>PnL((($D$7*(1+P$2))+($D$5-$D$6)),$E91,(RiskSlide!$A$7),($G91+P$3),((RiskSlide!$A$12)/260),$C91,$B91,RiskSlide!$H120)</f>
        <v>-7133.8839255821358</v>
      </c>
      <c r="Q91">
        <f>PnL((($D$7*(1+Q$2))+($D$5-$D$6)),$E91,(RiskSlide!$A$7),($G91+Q$3),((RiskSlide!$A$12)/260),$C91,$B91,RiskSlide!$H120)</f>
        <v>-7134.9898560540396</v>
      </c>
      <c r="R91">
        <f>PnL((($D$7*(1+R$2))+($D$5-$D$6)),$E91,(RiskSlide!$A$7),($G91+R$3),((RiskSlide!$A$12)/260),$C91,$B91,RiskSlide!$H120)</f>
        <v>-7136.1845575479483</v>
      </c>
      <c r="S91">
        <f>PnL((($D$7*(1+S$2))+($D$5-$D$6)),$E91,(RiskSlide!$A$7),($G91+S$3),((RiskSlide!$A$12)/260),$C91,$B91,RiskSlide!$H120)</f>
        <v>-7136.1845903261947</v>
      </c>
      <c r="T91">
        <f>PnL((($D$7*(1+T$2))+($D$5-$D$6)),$E91,(RiskSlide!$A$7),($G91+T$3),((RiskSlide!$A$12)/260),$C91,$B91,RiskSlide!$H120)</f>
        <v>-2498.3924347268016</v>
      </c>
      <c r="U91">
        <f>PnL((($D$7*(1+U$2))+($D$5-$D$6)),$E91,(RiskSlide!$A$7),($G91+U$3),((RiskSlide!$A$12)/260),$C91,$B91,RiskSlide!$H120)</f>
        <v>-5097.9763590177954</v>
      </c>
      <c r="V91">
        <f>PnL((($D$7*(1+V$2))+($D$5-$D$6)),$E91,(RiskSlide!$A$7),($G91+V$3),((RiskSlide!$A$12)/260),$C91,$B91,RiskSlide!$H120)</f>
        <v>-6477.1706355711249</v>
      </c>
      <c r="W91">
        <f>PnL((($D$7*(1+W$2))+($D$5-$D$6)),$E91,(RiskSlide!$A$7),($G91+W$3),((RiskSlide!$A$12)/260),$C91,$B91,RiskSlide!$H120)</f>
        <v>-6594.9998994840125</v>
      </c>
      <c r="X91">
        <f>PnL((($D$7*(1+X$2))+($D$5-$D$6)),$E91,(RiskSlide!$A$7),($G91+X$3),((RiskSlide!$A$12)/260),$C91,$B91,RiskSlide!$H120)</f>
        <v>-6699.9379490532501</v>
      </c>
      <c r="Y91">
        <f>PnL((($D$7*(1+Y$2))+($D$5-$D$6)),$E91,(RiskSlide!$A$7),($G91+Y$3),((RiskSlide!$A$12)/260),$C91,$B91,RiskSlide!$H120)</f>
        <v>-6791.9980991446964</v>
      </c>
      <c r="Z91">
        <f>PnL((($D$7*(1+Z$2))+($D$5-$D$6)),$E91,(RiskSlide!$A$7),($G91+Z$3),((RiskSlide!$A$12)/260),$C91,$B91,RiskSlide!$H120)</f>
        <v>-6871.3370305421176</v>
      </c>
      <c r="AA91">
        <f>PnL((($D$7*(1+AA$2))+($D$5-$D$6)),$E91,(RiskSlide!$A$7),($G91+AA$3),((RiskSlide!$A$12)/260),$C91,$B91,RiskSlide!$H120)</f>
        <v>-7130.5873133258765</v>
      </c>
      <c r="AB91">
        <f>PnL((($D$7*(1+AB$2))+($D$5-$D$6)),$E91,(RiskSlide!$A$7),($G91+AB$3),((RiskSlide!$A$12)/260),$C91,$B91,RiskSlide!$H120)</f>
        <v>-7136.1845903261947</v>
      </c>
      <c r="AC91">
        <f>PnL((($D$7*(1+AC$2))+($D$5-$D$6)),$E91,(RiskSlide!$A$7),($G91+AC$3),((RiskSlide!$A$12)/260),$C91,$B91,RiskSlide!$H120)</f>
        <v>6152.7912018924217</v>
      </c>
      <c r="AD91">
        <f>PnL((($D$7*(1+AD$2))+($D$5-$D$6)),$E91,(RiskSlide!$A$7),($G91+AD$3),((RiskSlide!$A$12)/260),$C91,$B91,RiskSlide!$H120)</f>
        <v>1673.0614309895714</v>
      </c>
      <c r="AE91">
        <f>PnL((($D$7*(1+AE$2))+($D$5-$D$6)),$E91,(RiskSlide!$A$7),($G91+AE$3),((RiskSlide!$A$12)/260),$C91,$B91,RiskSlide!$H120)</f>
        <v>-1721.1601032230988</v>
      </c>
      <c r="AF91">
        <f>PnL((($D$7*(1+AF$2))+($D$5-$D$6)),$E91,(RiskSlide!$A$7),($G91+AF$3),((RiskSlide!$A$12)/260),$C91,$B91,RiskSlide!$H120)</f>
        <v>-2125.4695509534627</v>
      </c>
      <c r="AG91">
        <f>PnL((($D$7*(1+AG$2))+($D$5-$D$6)),$E91,(RiskSlide!$A$7),($G91+AG$3),((RiskSlide!$A$12)/260),$C91,$B91,RiskSlide!$H120)</f>
        <v>-2523.7155780480234</v>
      </c>
      <c r="AH91">
        <f>PnL((($D$7*(1+AH$2))+($D$5-$D$6)),$E91,(RiskSlide!$A$7),($G91+AH$3),((RiskSlide!$A$12)/260),$C91,$B91,RiskSlide!$H120)</f>
        <v>-2915.2173268532606</v>
      </c>
      <c r="AI91">
        <f>PnL((($D$7*(1+AI$2))+($D$5-$D$6)),$E91,(RiskSlide!$A$7),($G91+AI$3),((RiskSlide!$A$12)/260),$C91,$B91,RiskSlide!$H120)</f>
        <v>-3299.1946258232219</v>
      </c>
      <c r="AJ91">
        <f>PnL((($D$7*(1+AJ$2))+($D$5-$D$6)),$E91,(RiskSlide!$A$7),($G91+AJ$3),((RiskSlide!$A$12)/260),$C91,$B91,RiskSlide!$H120)</f>
        <v>-5957.310886956333</v>
      </c>
      <c r="AK91">
        <f>PnL((($D$7*(1+AK$2))+($D$5-$D$6)),$E91,(RiskSlide!$A$7),($G91+AK$3),((RiskSlide!$A$12)/260),$C91,$B91,RiskSlide!$H120)</f>
        <v>-7136.1046745459853</v>
      </c>
      <c r="AL91">
        <f>PnL((($D$7*(1+AL$2))+($D$5-$D$6)),$E91,(RiskSlide!$A$7),($G91+AL$3),((RiskSlide!$A$12)/260),$C91,$B91,RiskSlide!$H120)</f>
        <v>7717.8843098090792</v>
      </c>
      <c r="AM91">
        <f>PnL((($D$7*(1+AM$2))+($D$5-$D$6)),$E91,(RiskSlide!$A$7),($G91+AM$3),((RiskSlide!$A$12)/260),$C91,$B91,RiskSlide!$H120)</f>
        <v>3087.9675092221587</v>
      </c>
      <c r="AN91">
        <f>PnL((($D$7*(1+AN$2))+($D$5-$D$6)),$E91,(RiskSlide!$A$7),($G91+AN$3),((RiskSlide!$A$12)/260),$C91,$B91,RiskSlide!$H120)</f>
        <v>-494.44390934289117</v>
      </c>
      <c r="AO91">
        <f>PnL((($D$7*(1+AO$2))+($D$5-$D$6)),$E91,(RiskSlide!$A$7),($G91+AO$3),((RiskSlide!$A$12)/260),$C91,$B91,RiskSlide!$H120)</f>
        <v>-929.20820826817021</v>
      </c>
      <c r="AP91">
        <f>PnL((($D$7*(1+AP$2))+($D$5-$D$6)),$E91,(RiskSlide!$A$7),($G91+AP$3),((RiskSlide!$A$12)/260),$C91,$B91,RiskSlide!$H120)</f>
        <v>-1359.956444788628</v>
      </c>
      <c r="AQ91">
        <f>PnL((($D$7*(1+AQ$2))+($D$5-$D$6)),$E91,(RiskSlide!$A$7),($G91+AQ$3),((RiskSlide!$A$12)/260),$C91,$B91,RiskSlide!$H120)</f>
        <v>-1786.2093870105184</v>
      </c>
      <c r="AR91">
        <f>PnL((($D$7*(1+AR$2))+($D$5-$D$6)),$E91,(RiskSlide!$A$7),($G91+AR$3),((RiskSlide!$A$12)/260),$C91,$B91,RiskSlide!$H120)</f>
        <v>-2207.4111484941909</v>
      </c>
      <c r="AS91">
        <f>PnL((($D$7*(1+AS$2))+($D$5-$D$6)),$E91,(RiskSlide!$A$7),($G91+AS$3),((RiskSlide!$A$12)/260),$C91,$B91,RiskSlide!$H120)</f>
        <v>-5286.9161854362037</v>
      </c>
      <c r="AT91">
        <f>PnL((($D$7*(1+AT$2))+($D$5-$D$6)),$E91,(RiskSlide!$A$7),($G91+AT$3),((RiskSlide!$A$12)/260),$C91,$B91,RiskSlide!$H120)</f>
        <v>-7134.2153055993067</v>
      </c>
      <c r="AU91">
        <f>PnL((($D$7*(1+AU$2))+($D$5-$D$6)),$E91,(RiskSlide!$A$7),($G91+AU$3),((RiskSlide!$A$12)/260),$C91,$B91,RiskSlide!$H120)</f>
        <v>9400.0395096010543</v>
      </c>
      <c r="AV91">
        <f>PnL((($D$7*(1+AV$2))+($D$5-$D$6)),$E91,(RiskSlide!$A$7),($G91+AV$3),((RiskSlide!$A$12)/260),$C91,$B91,RiskSlide!$H120)</f>
        <v>4650.5306837542885</v>
      </c>
      <c r="AW91">
        <f>PnL((($D$7*(1+AW$2))+($D$5-$D$6)),$E91,(RiskSlide!$A$7),($G91+AW$3),((RiskSlide!$A$12)/260),$C91,$B91,RiskSlide!$H120)</f>
        <v>916.82662498209879</v>
      </c>
      <c r="AX91">
        <f>PnL((($D$7*(1+AX$2))+($D$5-$D$6)),$E91,(RiskSlide!$A$7),($G91+AX$3),((RiskSlide!$A$12)/260),$C91,$B91,RiskSlide!$H120)</f>
        <v>457.29460528159507</v>
      </c>
      <c r="AY91">
        <f>PnL((($D$7*(1+AY$2))+($D$5-$D$6)),$E91,(RiskSlide!$A$7),($G91+AY$3),((RiskSlide!$A$12)/260),$C91,$B91,RiskSlide!$H120)</f>
        <v>0</v>
      </c>
      <c r="AZ91">
        <f>PnL((($D$7*(1+AZ$2))+($D$5-$D$6)),$E91,(RiskSlide!$A$7),($G91+AZ$3),((RiskSlide!$A$12)/260),$C91,$B91,RiskSlide!$H120)</f>
        <v>-454.77789096489118</v>
      </c>
      <c r="BA91">
        <f>PnL((($D$7*(1+BA$2))+($D$5-$D$6)),$E91,(RiskSlide!$A$7),($G91+BA$3),((RiskSlide!$A$12)/260),$C91,$B91,RiskSlide!$H120)</f>
        <v>-906.71223990304384</v>
      </c>
      <c r="BB91">
        <f>PnL((($D$7*(1+BB$2))+($D$5-$D$6)),$E91,(RiskSlide!$A$7),($G91+BB$3),((RiskSlide!$A$12)/260),$C91,$B91,RiskSlide!$H120)</f>
        <v>-4353.2374934425179</v>
      </c>
      <c r="BC91">
        <f>PnL((($D$7*(1+BC$2))+($D$5-$D$6)),$E91,(RiskSlide!$A$7),($G91+BC$3),((RiskSlide!$A$12)/260),$C91,$B91,RiskSlide!$H120)</f>
        <v>-7109.7502671602115</v>
      </c>
      <c r="BD91">
        <f>PnL((($D$7*(1+BD$2))+($D$5-$D$6)),$E91,(RiskSlide!$A$7),($G91+BD$3),((RiskSlide!$A$12)/260),$C91,$B91,RiskSlide!$H120)</f>
        <v>11200.461010373721</v>
      </c>
      <c r="BE91">
        <f>PnL((($D$7*(1+BE$2))+($D$5-$D$6)),$E91,(RiskSlide!$A$7),($G91+BE$3),((RiskSlide!$A$12)/260),$C91,$B91,RiskSlide!$H120)</f>
        <v>6364.0649200993612</v>
      </c>
      <c r="BF91">
        <f>PnL((($D$7*(1+BF$2))+($D$5-$D$6)),$E91,(RiskSlide!$A$7),($G91+BF$3),((RiskSlide!$A$12)/260),$C91,$B91,RiskSlide!$H120)</f>
        <v>2520.8023887926802</v>
      </c>
      <c r="BG91">
        <f>PnL((($D$7*(1+BG$2))+($D$5-$D$6)),$E91,(RiskSlide!$A$7),($G91+BG$3),((RiskSlide!$A$12)/260),$C91,$B91,RiskSlide!$H120)</f>
        <v>2043.2616682328955</v>
      </c>
      <c r="BH91">
        <f>PnL((($D$7*(1+BH$2))+($D$5-$D$6)),$E91,(RiskSlide!$A$7),($G91+BH$3),((RiskSlide!$A$12)/260),$C91,$B91,RiskSlide!$H120)</f>
        <v>1566.6232208206736</v>
      </c>
      <c r="BI91">
        <f>PnL((($D$7*(1+BI$2))+($D$5-$D$6)),$E91,(RiskSlide!$A$7),($G91+BI$3),((RiskSlide!$A$12)/260),$C91,$B91,RiskSlide!$H120)</f>
        <v>1091.0036374969991</v>
      </c>
      <c r="BJ91">
        <f>PnL((($D$7*(1+BJ$2))+($D$5-$D$6)),$E91,(RiskSlide!$A$7),($G91+BJ$3),((RiskSlide!$A$12)/260),$C91,$B91,RiskSlide!$H120)</f>
        <v>616.54011666590804</v>
      </c>
      <c r="BK91">
        <f>PnL((($D$7*(1+BK$2))+($D$5-$D$6)),$E91,(RiskSlide!$A$7),($G91+BK$3),((RiskSlide!$A$12)/260),$C91,$B91,RiskSlide!$H120)</f>
        <v>-3108.7630510675408</v>
      </c>
      <c r="BL91">
        <f>PnL((($D$7*(1+BL$2))+($D$5-$D$6)),$E91,(RiskSlide!$A$7),($G91+BL$3),((RiskSlide!$A$12)/260),$C91,$B91,RiskSlide!$H120)</f>
        <v>-6934.8379882881973</v>
      </c>
      <c r="BM91">
        <f>PnL((($D$7*(1+BM$2))+($D$5-$D$6)),$E91,(RiskSlide!$A$7),($G91+BM$3),((RiskSlide!$A$12)/260),$C91,$B91,RiskSlide!$H120)</f>
        <v>13119.691469732839</v>
      </c>
      <c r="BN91">
        <f>PnL((($D$7*(1+BN$2))+($D$5-$D$6)),$E91,(RiskSlide!$A$7),($G91+BN$3),((RiskSlide!$A$12)/260),$C91,$B91,RiskSlide!$H120)</f>
        <v>8230.501084545609</v>
      </c>
      <c r="BO91">
        <f>PnL((($D$7*(1+BO$2))+($D$5-$D$6)),$E91,(RiskSlide!$A$7),($G91+BO$3),((RiskSlide!$A$12)/260),$C91,$B91,RiskSlide!$H120)</f>
        <v>4322.7570724020725</v>
      </c>
      <c r="BP91">
        <f>PnL((($D$7*(1+BP$2))+($D$5-$D$6)),$E91,(RiskSlide!$A$7),($G91+BP$3),((RiskSlide!$A$12)/260),$C91,$B91,RiskSlide!$H120)</f>
        <v>3834.7268075896181</v>
      </c>
      <c r="BQ91">
        <f>PnL((($D$7*(1+BQ$2))+($D$5-$D$6)),$E91,(RiskSlide!$A$7),($G91+BQ$3),((RiskSlide!$A$12)/260),$C91,$B91,RiskSlide!$H120)</f>
        <v>3346.8384475218099</v>
      </c>
      <c r="BR91">
        <f>PnL((($D$7*(1+BR$2))+($D$5-$D$6)),$E91,(RiskSlide!$A$7),($G91+BR$3),((RiskSlide!$A$12)/260),$C91,$B91,RiskSlide!$H120)</f>
        <v>2859.1116174534645</v>
      </c>
      <c r="BS91">
        <f>PnL((($D$7*(1+BS$2))+($D$5-$D$6)),$E91,(RiskSlide!$A$7),($G91+BS$3),((RiskSlide!$A$12)/260),$C91,$B91,RiskSlide!$H120)</f>
        <v>2371.5694396763752</v>
      </c>
      <c r="BT91">
        <f>PnL((($D$7*(1+BT$2))+($D$5-$D$6)),$E91,(RiskSlide!$A$7),($G91+BT$3),((RiskSlide!$A$12)/260),$C91,$B91,RiskSlide!$H120)</f>
        <v>-1517.2133919228429</v>
      </c>
      <c r="BU91">
        <f>PnL((($D$7*(1+BU$2))+($D$5-$D$6)),$E91,(RiskSlide!$A$7),($G91+BU$3),((RiskSlide!$A$12)/260),$C91,$B91,RiskSlide!$H120)</f>
        <v>-6216.3725473627892</v>
      </c>
      <c r="BV91">
        <f>PnL((($D$7*(1+BV$2))+($D$5-$D$6)),$E91,(RiskSlide!$A$7),($G91+BV$3),((RiskSlide!$A$12)/260),$C91,$B91,RiskSlide!$H120)</f>
        <v>32607.586749706912</v>
      </c>
      <c r="BW91">
        <f>PnL((($D$7*(1+BW$2))+($D$5-$D$6)),$E91,(RiskSlide!$A$7),($G91+BW$3),((RiskSlide!$A$12)/260),$C91,$B91,RiskSlide!$H120)</f>
        <v>28450.483917269958</v>
      </c>
      <c r="BX91">
        <f>PnL((($D$7*(1+BX$2))+($D$5-$D$6)),$E91,(RiskSlide!$A$7),($G91+BX$3),((RiskSlide!$A$12)/260),$C91,$B91,RiskSlide!$H120)</f>
        <v>25518.479268733721</v>
      </c>
      <c r="BY91">
        <f>PnL((($D$7*(1+BY$2))+($D$5-$D$6)),$E91,(RiskSlide!$A$7),($G91+BY$3),((RiskSlide!$A$12)/260),$C91,$B91,RiskSlide!$H120)</f>
        <v>25191.031310875052</v>
      </c>
      <c r="BZ91">
        <f>PnL((($D$7*(1+BZ$2))+($D$5-$D$6)),$E91,(RiskSlide!$A$7),($G91+BZ$3),((RiskSlide!$A$12)/260),$C91,$B91,RiskSlide!$H120)</f>
        <v>24874.877518278721</v>
      </c>
      <c r="CA91">
        <f>PnL((($D$7*(1+CA$2))+($D$5-$D$6)),$E91,(RiskSlide!$A$7),($G91+CA$3),((RiskSlide!$A$12)/260),$C91,$B91,RiskSlide!$H120)</f>
        <v>24571.020176240712</v>
      </c>
      <c r="CB91">
        <f>PnL((($D$7*(1+CB$2))+($D$5-$D$6)),$E91,(RiskSlide!$A$7),($G91+CB$3),((RiskSlide!$A$12)/260),$C91,$B91,RiskSlide!$H120)</f>
        <v>24280.553352883089</v>
      </c>
      <c r="CC91">
        <f>PnL((($D$7*(1+CC$2))+($D$5-$D$6)),$E91,(RiskSlide!$A$7),($G91+CC$3),((RiskSlide!$A$12)/260),$C91,$B91,RiskSlide!$H120)</f>
        <v>22595.52882044993</v>
      </c>
      <c r="CD91">
        <f>PnL((($D$7*(1+CD$2))+($D$5-$D$6)),$E91,(RiskSlide!$A$7),($G91+CD$3),((RiskSlide!$A$12)/260),$C91,$B91,RiskSlide!$H120)</f>
        <v>22250.81545117365</v>
      </c>
      <c r="CE91">
        <f>PnL((($D$7*(1+CE$2))+($D$5-$D$6)),$E91,(RiskSlide!$A$7),($G91+CE$3),((RiskSlide!$A$12)/260),$C91,$B91,RiskSlide!$H120)</f>
        <v>65315.820580976586</v>
      </c>
      <c r="CF91">
        <f>PnL((($D$7*(1+CF$2))+($D$5-$D$6)),$E91,(RiskSlide!$A$7),($G91+CF$3),((RiskSlide!$A$12)/260),$C91,$B91,RiskSlide!$H120)</f>
        <v>63376.053251363854</v>
      </c>
      <c r="CG91">
        <f>PnL((($D$7*(1+CG$2))+($D$5-$D$6)),$E91,(RiskSlide!$A$7),($G91+CG$3),((RiskSlide!$A$12)/260),$C91,$B91,RiskSlide!$H120)</f>
        <v>62570.169857792156</v>
      </c>
      <c r="CH91">
        <f>PnL((($D$7*(1+CH$2))+($D$5-$D$6)),$E91,(RiskSlide!$A$7),($G91+CH$3),((RiskSlide!$A$12)/260),$C91,$B91,RiskSlide!$H120)</f>
        <v>62516.301502582326</v>
      </c>
      <c r="CI91">
        <f>PnL((($D$7*(1+CI$2))+($D$5-$D$6)),$E91,(RiskSlide!$A$7),($G91+CI$3),((RiskSlide!$A$12)/260),$C91,$B91,RiskSlide!$H120)</f>
        <v>62471.618437235535</v>
      </c>
      <c r="CJ91">
        <f>PnL((($D$7*(1+CJ$2))+($D$5-$D$6)),$E91,(RiskSlide!$A$7),($G91+CJ$3),((RiskSlide!$A$12)/260),$C91,$B91,RiskSlide!$H120)</f>
        <v>62435.443281531276</v>
      </c>
      <c r="CK91">
        <f>PnL((($D$7*(1+CK$2))+($D$5-$D$6)),$E91,(RiskSlide!$A$7),($G91+CK$3),((RiskSlide!$A$12)/260),$C91,$B91,RiskSlide!$H120)</f>
        <v>62406.983356671743</v>
      </c>
      <c r="CL91">
        <f>PnL((($D$7*(1+CL$2))+($D$5-$D$6)),$E91,(RiskSlide!$A$7),($G91+CL$3),((RiskSlide!$A$12)/260),$C91,$B91,RiskSlide!$H120)</f>
        <v>62342.903127596968</v>
      </c>
      <c r="CM91">
        <f>PnL((($D$7*(1+CM$2))+($D$5-$D$6)),$E91,(RiskSlide!$A$7),($G91+CM$3),((RiskSlide!$A$12)/260),$C91,$B91,RiskSlide!$H120)</f>
        <v>62342.665448545646</v>
      </c>
    </row>
    <row r="92" spans="1:91" x14ac:dyDescent="0.25">
      <c r="A92" t="s">
        <v>87</v>
      </c>
      <c r="B92">
        <v>-4</v>
      </c>
      <c r="C92">
        <v>1</v>
      </c>
      <c r="E92">
        <v>1810</v>
      </c>
      <c r="F92">
        <v>3.5000000000000001E-3</v>
      </c>
      <c r="G92">
        <v>0.116352</v>
      </c>
      <c r="K92">
        <f>PnL((($D$7*(1+K$2))+($D$5-$D$6)),$E92,(RiskSlide!$A$7),($G92+K$3),((RiskSlide!$A$12)/260),$C92,$B92,RiskSlide!$H121)</f>
        <v>2129.2401067371743</v>
      </c>
      <c r="L92">
        <f>PnL((($D$7*(1+L$2))+($D$5-$D$6)),$E92,(RiskSlide!$A$7),($G92+L$3),((RiskSlide!$A$12)/260),$C92,$B92,RiskSlide!$H121)</f>
        <v>2340.7584564674639</v>
      </c>
      <c r="M92">
        <f>PnL((($D$7*(1+M$2))+($D$5-$D$6)),$E92,(RiskSlide!$A$7),($G92+M$3),((RiskSlide!$A$12)/260),$C92,$B92,RiskSlide!$H121)</f>
        <v>2377.0430233437628</v>
      </c>
      <c r="N92">
        <f>PnL((($D$7*(1+N$2))+($D$5-$D$6)),$E92,(RiskSlide!$A$7),($G92+N$3),((RiskSlide!$A$12)/260),$C92,$B92,RiskSlide!$H121)</f>
        <v>2377.9052341097708</v>
      </c>
      <c r="O92">
        <f>PnL((($D$7*(1+O$2))+($D$5-$D$6)),$E92,(RiskSlide!$A$7),($G92+O$3),((RiskSlide!$A$12)/260),$C92,$B92,RiskSlide!$H121)</f>
        <v>2378.4446172886765</v>
      </c>
      <c r="P92">
        <f>PnL((($D$7*(1+P$2))+($D$5-$D$6)),$E92,(RiskSlide!$A$7),($G92+P$3),((RiskSlide!$A$12)/260),$C92,$B92,RiskSlide!$H121)</f>
        <v>2378.7615318095745</v>
      </c>
      <c r="Q92">
        <f>PnL((($D$7*(1+Q$2))+($D$5-$D$6)),$E92,(RiskSlide!$A$7),($G92+Q$3),((RiskSlide!$A$12)/260),$C92,$B92,RiskSlide!$H121)</f>
        <v>2378.9343936682353</v>
      </c>
      <c r="R92">
        <f>PnL((($D$7*(1+R$2))+($D$5-$D$6)),$E92,(RiskSlide!$A$7),($G92+R$3),((RiskSlide!$A$12)/260),$C92,$B92,RiskSlide!$H121)</f>
        <v>2379.0815268175629</v>
      </c>
      <c r="S92">
        <f>PnL((($D$7*(1+S$2))+($D$5-$D$6)),$E92,(RiskSlide!$A$7),($G92+S$3),((RiskSlide!$A$12)/260),$C92,$B92,RiskSlide!$H121)</f>
        <v>2379.0815271548354</v>
      </c>
      <c r="T92">
        <f>PnL((($D$7*(1+T$2))+($D$5-$D$6)),$E92,(RiskSlide!$A$7),($G92+T$3),((RiskSlide!$A$12)/260),$C92,$B92,RiskSlide!$H121)</f>
        <v>707.67514520568398</v>
      </c>
      <c r="U92">
        <f>PnL((($D$7*(1+U$2))+($D$5-$D$6)),$E92,(RiskSlide!$A$7),($G92+U$3),((RiskSlide!$A$12)/260),$C92,$B92,RiskSlide!$H121)</f>
        <v>1719.4703178169391</v>
      </c>
      <c r="V92">
        <f>PnL((($D$7*(1+V$2))+($D$5-$D$6)),$E92,(RiskSlide!$A$7),($G92+V$3),((RiskSlide!$A$12)/260),$C92,$B92,RiskSlide!$H121)</f>
        <v>2202.5145639349562</v>
      </c>
      <c r="W92">
        <f>PnL((($D$7*(1+W$2))+($D$5-$D$6)),$E92,(RiskSlide!$A$7),($G92+W$3),((RiskSlide!$A$12)/260),$C92,$B92,RiskSlide!$H121)</f>
        <v>2239.4364206647765</v>
      </c>
      <c r="X92">
        <f>PnL((($D$7*(1+X$2))+($D$5-$D$6)),$E92,(RiskSlide!$A$7),($G92+X$3),((RiskSlide!$A$12)/260),$C92,$B92,RiskSlide!$H121)</f>
        <v>2271.2179688460483</v>
      </c>
      <c r="Y92">
        <f>PnL((($D$7*(1+Y$2))+($D$5-$D$6)),$E92,(RiskSlide!$A$7),($G92+Y$3),((RiskSlide!$A$12)/260),$C92,$B92,RiskSlide!$H121)</f>
        <v>2298.029145263311</v>
      </c>
      <c r="Z92">
        <f>PnL((($D$7*(1+Z$2))+($D$5-$D$6)),$E92,(RiskSlide!$A$7),($G92+Z$3),((RiskSlide!$A$12)/260),$C92,$B92,RiskSlide!$H121)</f>
        <v>2320.1126579084353</v>
      </c>
      <c r="AA92">
        <f>PnL((($D$7*(1+AA$2))+($D$5-$D$6)),$E92,(RiskSlide!$A$7),($G92+AA$3),((RiskSlide!$A$12)/260),$C92,$B92,RiskSlide!$H121)</f>
        <v>2378.6504962534527</v>
      </c>
      <c r="AB92">
        <f>PnL((($D$7*(1+AB$2))+($D$5-$D$6)),$E92,(RiskSlide!$A$7),($G92+AB$3),((RiskSlide!$A$12)/260),$C92,$B92,RiskSlide!$H121)</f>
        <v>2379.0815271548354</v>
      </c>
      <c r="AC92">
        <f>PnL((($D$7*(1+AC$2))+($D$5-$D$6)),$E92,(RiskSlide!$A$7),($G92+AC$3),((RiskSlide!$A$12)/260),$C92,$B92,RiskSlide!$H121)</f>
        <v>-2704.6954876266682</v>
      </c>
      <c r="AD92">
        <f>PnL((($D$7*(1+AD$2))+($D$5-$D$6)),$E92,(RiskSlide!$A$7),($G92+AD$3),((RiskSlide!$A$12)/260),$C92,$B92,RiskSlide!$H121)</f>
        <v>-799.41837531180227</v>
      </c>
      <c r="AE92">
        <f>PnL((($D$7*(1+AE$2))+($D$5-$D$6)),$E92,(RiskSlide!$A$7),($G92+AE$3),((RiskSlide!$A$12)/260),$C92,$B92,RiskSlide!$H121)</f>
        <v>594.77549257799183</v>
      </c>
      <c r="AF92">
        <f>PnL((($D$7*(1+AF$2))+($D$5-$D$6)),$E92,(RiskSlide!$A$7),($G92+AF$3),((RiskSlide!$A$12)/260),$C92,$B92,RiskSlide!$H121)</f>
        <v>755.57112756333709</v>
      </c>
      <c r="AG92">
        <f>PnL((($D$7*(1+AG$2))+($D$5-$D$6)),$E92,(RiskSlide!$A$7),($G92+AG$3),((RiskSlide!$A$12)/260),$C92,$B92,RiskSlide!$H121)</f>
        <v>912.33429057195963</v>
      </c>
      <c r="AH92">
        <f>PnL((($D$7*(1+AH$2))+($D$5-$D$6)),$E92,(RiskSlide!$A$7),($G92+AH$3),((RiskSlide!$A$12)/260),$C92,$B92,RiskSlide!$H121)</f>
        <v>1064.6439522484229</v>
      </c>
      <c r="AI92">
        <f>PnL((($D$7*(1+AI$2))+($D$5-$D$6)),$E92,(RiskSlide!$A$7),($G92+AI$3),((RiskSlide!$A$12)/260),$C92,$B92,RiskSlide!$H121)</f>
        <v>1212.0262493476503</v>
      </c>
      <c r="AJ92">
        <f>PnL((($D$7*(1+AJ$2))+($D$5-$D$6)),$E92,(RiskSlide!$A$7),($G92+AJ$3),((RiskSlide!$A$12)/260),$C92,$B92,RiskSlide!$H121)</f>
        <v>2135.2608111143354</v>
      </c>
      <c r="AK92">
        <f>PnL((($D$7*(1+AK$2))+($D$5-$D$6)),$E92,(RiskSlide!$A$7),($G92+AK$3),((RiskSlide!$A$12)/260),$C92,$B92,RiskSlide!$H121)</f>
        <v>2379.0815263260738</v>
      </c>
      <c r="AL92">
        <f>PnL((($D$7*(1+AL$2))+($D$5-$D$6)),$E92,(RiskSlide!$A$7),($G92+AL$3),((RiskSlide!$A$12)/260),$C92,$B92,RiskSlide!$H121)</f>
        <v>-3339.3262730647166</v>
      </c>
      <c r="AM92">
        <f>PnL((($D$7*(1+AM$2))+($D$5-$D$6)),$E92,(RiskSlide!$A$7),($G92+AM$3),((RiskSlide!$A$12)/260),$C92,$B92,RiskSlide!$H121)</f>
        <v>-1351.102577308302</v>
      </c>
      <c r="AN92">
        <f>PnL((($D$7*(1+AN$2))+($D$5-$D$6)),$E92,(RiskSlide!$A$7),($G92+AN$3),((RiskSlide!$A$12)/260),$C92,$B92,RiskSlide!$H121)</f>
        <v>145.70828415166943</v>
      </c>
      <c r="AO92">
        <f>PnL((($D$7*(1+AO$2))+($D$5-$D$6)),$E92,(RiskSlide!$A$7),($G92+AO$3),((RiskSlide!$A$12)/260),$C92,$B92,RiskSlide!$H121)</f>
        <v>322.85387951321809</v>
      </c>
      <c r="AP92">
        <f>PnL((($D$7*(1+AP$2))+($D$5-$D$6)),$E92,(RiskSlide!$A$7),($G92+AP$3),((RiskSlide!$A$12)/260),$C92,$B92,RiskSlide!$H121)</f>
        <v>496.96208888229876</v>
      </c>
      <c r="AQ92">
        <f>PnL((($D$7*(1+AQ$2))+($D$5-$D$6)),$E92,(RiskSlide!$A$7),($G92+AQ$3),((RiskSlide!$A$12)/260),$C92,$B92,RiskSlide!$H121)</f>
        <v>667.68646874896831</v>
      </c>
      <c r="AR92">
        <f>PnL((($D$7*(1+AR$2))+($D$5-$D$6)),$E92,(RiskSlide!$A$7),($G92+AR$3),((RiskSlide!$A$12)/260),$C92,$B92,RiskSlide!$H121)</f>
        <v>834.62975942362618</v>
      </c>
      <c r="AS92">
        <f>PnL((($D$7*(1+AS$2))+($D$5-$D$6)),$E92,(RiskSlide!$A$7),($G92+AS$3),((RiskSlide!$A$12)/260),$C92,$B92,RiskSlide!$H121)</f>
        <v>1961.6485285511487</v>
      </c>
      <c r="AT92">
        <f>PnL((($D$7*(1+AT$2))+($D$5-$D$6)),$E92,(RiskSlide!$A$7),($G92+AT$3),((RiskSlide!$A$12)/260),$C92,$B92,RiskSlide!$H121)</f>
        <v>2379.0812636491405</v>
      </c>
      <c r="AU92">
        <f>PnL((($D$7*(1+AU$2))+($D$5-$D$6)),$E92,(RiskSlide!$A$7),($G92+AU$3),((RiskSlide!$A$12)/260),$C92,$B92,RiskSlide!$H121)</f>
        <v>-4025.571646176877</v>
      </c>
      <c r="AV92">
        <f>PnL((($D$7*(1+AV$2))+($D$5-$D$6)),$E92,(RiskSlide!$A$7),($G92+AV$3),((RiskSlide!$A$12)/260),$C92,$B92,RiskSlide!$H121)</f>
        <v>-1966.9191702649414</v>
      </c>
      <c r="AW92">
        <f>PnL((($D$7*(1+AW$2))+($D$5-$D$6)),$E92,(RiskSlide!$A$7),($G92+AW$3),((RiskSlide!$A$12)/260),$C92,$B92,RiskSlide!$H121)</f>
        <v>-381.14588233638642</v>
      </c>
      <c r="AX92">
        <f>PnL((($D$7*(1+AX$2))+($D$5-$D$6)),$E92,(RiskSlide!$A$7),($G92+AX$3),((RiskSlide!$A$12)/260),$C92,$B92,RiskSlide!$H121)</f>
        <v>-189.54658915276923</v>
      </c>
      <c r="AY92">
        <f>PnL((($D$7*(1+AY$2))+($D$5-$D$6)),$E92,(RiskSlide!$A$7),($G92+AY$3),((RiskSlide!$A$12)/260),$C92,$B92,RiskSlide!$H121)</f>
        <v>0</v>
      </c>
      <c r="AZ92">
        <f>PnL((($D$7*(1+AZ$2))+($D$5-$D$6)),$E92,(RiskSlide!$A$7),($G92+AZ$3),((RiskSlide!$A$12)/260),$C92,$B92,RiskSlide!$H121)</f>
        <v>187.24357730823158</v>
      </c>
      <c r="BA92">
        <f>PnL((($D$7*(1+BA$2))+($D$5-$D$6)),$E92,(RiskSlide!$A$7),($G92+BA$3),((RiskSlide!$A$12)/260),$C92,$B92,RiskSlide!$H121)</f>
        <v>371.89309325995055</v>
      </c>
      <c r="BB92">
        <f>PnL((($D$7*(1+BB$2))+($D$5-$D$6)),$E92,(RiskSlide!$A$7),($G92+BB$3),((RiskSlide!$A$12)/260),$C92,$B92,RiskSlide!$H121)</f>
        <v>1698.6715332644962</v>
      </c>
      <c r="BC92">
        <f>PnL((($D$7*(1+BC$2))+($D$5-$D$6)),$E92,(RiskSlide!$A$7),($G92+BC$3),((RiskSlide!$A$12)/260),$C92,$B92,RiskSlide!$H121)</f>
        <v>2379.0504117154201</v>
      </c>
      <c r="BD92">
        <f>PnL((($D$7*(1+BD$2))+($D$5-$D$6)),$E92,(RiskSlide!$A$7),($G92+BD$3),((RiskSlide!$A$12)/260),$C92,$B92,RiskSlide!$H121)</f>
        <v>-4764.3331598030272</v>
      </c>
      <c r="BE92">
        <f>PnL((($D$7*(1+BE$2))+($D$5-$D$6)),$E92,(RiskSlide!$A$7),($G92+BE$3),((RiskSlide!$A$12)/260),$C92,$B92,RiskSlide!$H121)</f>
        <v>-2649.1178984551198</v>
      </c>
      <c r="BF92">
        <f>PnL((($D$7*(1+BF$2))+($D$5-$D$6)),$E92,(RiskSlide!$A$7),($G92+BF$3),((RiskSlide!$A$12)/260),$C92,$B92,RiskSlide!$H121)</f>
        <v>-991.02833104188903</v>
      </c>
      <c r="BG92">
        <f>PnL((($D$7*(1+BG$2))+($D$5-$D$6)),$E92,(RiskSlide!$A$7),($G92+BG$3),((RiskSlide!$A$12)/260),$C92,$B92,RiskSlide!$H121)</f>
        <v>-787.5197218454332</v>
      </c>
      <c r="BH92">
        <f>PnL((($D$7*(1+BH$2))+($D$5-$D$6)),$E92,(RiskSlide!$A$7),($G92+BH$3),((RiskSlide!$A$12)/260),$C92,$B92,RiskSlide!$H121)</f>
        <v>-585.18890953548635</v>
      </c>
      <c r="BI92">
        <f>PnL((($D$7*(1+BI$2))+($D$5-$D$6)),$E92,(RiskSlide!$A$7),($G92+BI$3),((RiskSlide!$A$12)/260),$C92,$B92,RiskSlide!$H121)</f>
        <v>-384.18677968093107</v>
      </c>
      <c r="BJ92">
        <f>PnL((($D$7*(1+BJ$2))+($D$5-$D$6)),$E92,(RiskSlide!$A$7),($G92+BJ$3),((RiskSlide!$A$12)/260),$C92,$B92,RiskSlide!$H121)</f>
        <v>-184.69054861802761</v>
      </c>
      <c r="BK92">
        <f>PnL((($D$7*(1+BK$2))+($D$5-$D$6)),$E92,(RiskSlide!$A$7),($G92+BK$3),((RiskSlide!$A$12)/260),$C92,$B92,RiskSlide!$H121)</f>
        <v>1320.4575778979461</v>
      </c>
      <c r="BL92">
        <f>PnL((($D$7*(1+BL$2))+($D$5-$D$6)),$E92,(RiskSlide!$A$7),($G92+BL$3),((RiskSlide!$A$12)/260),$C92,$B92,RiskSlide!$H121)</f>
        <v>2377.6596344896302</v>
      </c>
      <c r="BM92">
        <f>PnL((($D$7*(1+BM$2))+($D$5-$D$6)),$E92,(RiskSlide!$A$7),($G92+BM$3),((RiskSlide!$A$12)/260),$C92,$B92,RiskSlide!$H121)</f>
        <v>-5556.214155789462</v>
      </c>
      <c r="BN92">
        <f>PnL((($D$7*(1+BN$2))+($D$5-$D$6)),$E92,(RiskSlide!$A$7),($G92+BN$3),((RiskSlide!$A$12)/260),$C92,$B92,RiskSlide!$H121)</f>
        <v>-3399.3446418111262</v>
      </c>
      <c r="BO92">
        <f>PnL((($D$7*(1+BO$2))+($D$5-$D$6)),$E92,(RiskSlide!$A$7),($G92+BO$3),((RiskSlide!$A$12)/260),$C92,$B92,RiskSlide!$H121)</f>
        <v>-1688.0121635543901</v>
      </c>
      <c r="BP92">
        <f>PnL((($D$7*(1+BP$2))+($D$5-$D$6)),$E92,(RiskSlide!$A$7),($G92+BP$3),((RiskSlide!$A$12)/260),$C92,$B92,RiskSlide!$H121)</f>
        <v>-1475.6813641427925</v>
      </c>
      <c r="BQ92">
        <f>PnL((($D$7*(1+BQ$2))+($D$5-$D$6)),$E92,(RiskSlide!$A$7),($G92+BQ$3),((RiskSlide!$A$12)/260),$C92,$B92,RiskSlide!$H121)</f>
        <v>-1263.8534412694071</v>
      </c>
      <c r="BR92">
        <f>PnL((($D$7*(1+BR$2))+($D$5-$D$6)),$E92,(RiskSlide!$A$7),($G92+BR$3),((RiskSlide!$A$12)/260),$C92,$B92,RiskSlide!$H121)</f>
        <v>-1052.5952118712212</v>
      </c>
      <c r="BS92">
        <f>PnL((($D$7*(1+BS$2))+($D$5-$D$6)),$E92,(RiskSlide!$A$7),($G92+BS$3),((RiskSlide!$A$12)/260),$C92,$B92,RiskSlide!$H121)</f>
        <v>-841.98567148500842</v>
      </c>
      <c r="BT92">
        <f>PnL((($D$7*(1+BT$2))+($D$5-$D$6)),$E92,(RiskSlide!$A$7),($G92+BT$3),((RiskSlide!$A$12)/260),$C92,$B92,RiskSlide!$H121)</f>
        <v>802.63198938298501</v>
      </c>
      <c r="BU92">
        <f>PnL((($D$7*(1+BU$2))+($D$5-$D$6)),$E92,(RiskSlide!$A$7),($G92+BU$3),((RiskSlide!$A$12)/260),$C92,$B92,RiskSlide!$H121)</f>
        <v>2352.4866075545106</v>
      </c>
      <c r="BV92">
        <f>PnL((($D$7*(1+BV$2))+($D$5-$D$6)),$E92,(RiskSlide!$A$7),($G92+BV$3),((RiskSlide!$A$12)/260),$C92,$B92,RiskSlide!$H121)</f>
        <v>-13777.617971724361</v>
      </c>
      <c r="BW92">
        <f>PnL((($D$7*(1+BW$2))+($D$5-$D$6)),$E92,(RiskSlide!$A$7),($G92+BW$3),((RiskSlide!$A$12)/260),$C92,$B92,RiskSlide!$H121)</f>
        <v>-11835.568549162486</v>
      </c>
      <c r="BX92">
        <f>PnL((($D$7*(1+BX$2))+($D$5-$D$6)),$E92,(RiskSlide!$A$7),($G92+BX$3),((RiskSlide!$A$12)/260),$C92,$B92,RiskSlide!$H121)</f>
        <v>-10424.893365654156</v>
      </c>
      <c r="BY92">
        <f>PnL((($D$7*(1+BY$2))+($D$5-$D$6)),$E92,(RiskSlide!$A$7),($G92+BY$3),((RiskSlide!$A$12)/260),$C92,$B92,RiskSlide!$H121)</f>
        <v>-10263.287197611156</v>
      </c>
      <c r="BZ92">
        <f>PnL((($D$7*(1+BZ$2))+($D$5-$D$6)),$E92,(RiskSlide!$A$7),($G92+BZ$3),((RiskSlide!$A$12)/260),$C92,$B92,RiskSlide!$H121)</f>
        <v>-10106.065021445171</v>
      </c>
      <c r="CA92">
        <f>PnL((($D$7*(1+CA$2))+($D$5-$D$6)),$E92,(RiskSlide!$A$7),($G92+CA$3),((RiskSlide!$A$12)/260),$C92,$B92,RiskSlide!$H121)</f>
        <v>-9953.6736622220596</v>
      </c>
      <c r="CB92">
        <f>PnL((($D$7*(1+CB$2))+($D$5-$D$6)),$E92,(RiskSlide!$A$7),($G92+CB$3),((RiskSlide!$A$12)/260),$C92,$B92,RiskSlide!$H121)</f>
        <v>-9806.6134404794175</v>
      </c>
      <c r="CC92">
        <f>PnL((($D$7*(1+CC$2))+($D$5-$D$6)),$E92,(RiskSlide!$A$7),($G92+CC$3),((RiskSlide!$A$12)/260),$C92,$B92,RiskSlide!$H121)</f>
        <v>-8902.7005690306614</v>
      </c>
      <c r="CD92">
        <f>PnL((($D$7*(1+CD$2))+($D$5-$D$6)),$E92,(RiskSlide!$A$7),($G92+CD$3),((RiskSlide!$A$12)/260),$C92,$B92,RiskSlide!$H121)</f>
        <v>-8682.4534286836533</v>
      </c>
      <c r="CE92">
        <f>PnL((($D$7*(1+CE$2))+($D$5-$D$6)),$E92,(RiskSlide!$A$7),($G92+CE$3),((RiskSlide!$A$12)/260),$C92,$B92,RiskSlide!$H121)</f>
        <v>-27980.558906802184</v>
      </c>
      <c r="CF92">
        <f>PnL((($D$7*(1+CF$2))+($D$5-$D$6)),$E92,(RiskSlide!$A$7),($G92+CF$3),((RiskSlide!$A$12)/260),$C92,$B92,RiskSlide!$H121)</f>
        <v>-27034.046022214738</v>
      </c>
      <c r="CG92">
        <f>PnL((($D$7*(1+CG$2))+($D$5-$D$6)),$E92,(RiskSlide!$A$7),($G92+CG$3),((RiskSlide!$A$12)/260),$C92,$B92,RiskSlide!$H121)</f>
        <v>-26623.575058895018</v>
      </c>
      <c r="CH92">
        <f>PnL((($D$7*(1+CH$2))+($D$5-$D$6)),$E92,(RiskSlide!$A$7),($G92+CH$3),((RiskSlide!$A$12)/260),$C92,$B92,RiskSlide!$H121)</f>
        <v>-26595.149306342431</v>
      </c>
      <c r="CI92">
        <f>PnL((($D$7*(1+CI$2))+($D$5-$D$6)),$E92,(RiskSlide!$A$7),($G92+CI$3),((RiskSlide!$A$12)/260),$C92,$B92,RiskSlide!$H121)</f>
        <v>-26571.373983493617</v>
      </c>
      <c r="CJ92">
        <f>PnL((($D$7*(1+CJ$2))+($D$5-$D$6)),$E92,(RiskSlide!$A$7),($G92+CJ$3),((RiskSlide!$A$12)/260),$C92,$B92,RiskSlide!$H121)</f>
        <v>-26551.959840156247</v>
      </c>
      <c r="CK92">
        <f>PnL((($D$7*(1+CK$2))+($D$5-$D$6)),$E92,(RiskSlide!$A$7),($G92+CK$3),((RiskSlide!$A$12)/260),$C92,$B92,RiskSlide!$H121)</f>
        <v>-26536.552120485543</v>
      </c>
      <c r="CL92">
        <f>PnL((($D$7*(1+CL$2))+($D$5-$D$6)),$E92,(RiskSlide!$A$7),($G92+CL$3),((RiskSlide!$A$12)/260),$C92,$B92,RiskSlide!$H121)</f>
        <v>-26501.177783380739</v>
      </c>
      <c r="CM92">
        <f>PnL((($D$7*(1+CM$2))+($D$5-$D$6)),$E92,(RiskSlide!$A$7),($G92+CM$3),((RiskSlide!$A$12)/260),$C92,$B92,RiskSlide!$H121)</f>
        <v>-26501.053428489082</v>
      </c>
    </row>
    <row r="93" spans="1:91" x14ac:dyDescent="0.25">
      <c r="A93" t="s">
        <v>88</v>
      </c>
      <c r="B93">
        <v>-20</v>
      </c>
      <c r="C93">
        <v>1</v>
      </c>
      <c r="E93">
        <v>1815</v>
      </c>
      <c r="F93">
        <v>3.5000000000000001E-3</v>
      </c>
      <c r="G93">
        <v>0.114563</v>
      </c>
      <c r="K93">
        <f>PnL((($D$7*(1+K$2))+($D$5-$D$6)),$E93,(RiskSlide!$A$7),($G93+K$3),((RiskSlide!$A$12)/260),$C93,$B93,RiskSlide!$H122)</f>
        <v>9120.0721158357464</v>
      </c>
      <c r="L93">
        <f>PnL((($D$7*(1+L$2))+($D$5-$D$6)),$E93,(RiskSlide!$A$7),($G93+L$3),((RiskSlide!$A$12)/260),$C93,$B93,RiskSlide!$H122)</f>
        <v>10038.388719900331</v>
      </c>
      <c r="M93">
        <f>PnL((($D$7*(1+M$2))+($D$5-$D$6)),$E93,(RiskSlide!$A$7),($G93+M$3),((RiskSlide!$A$12)/260),$C93,$B93,RiskSlide!$H122)</f>
        <v>10179.177239277877</v>
      </c>
      <c r="N93">
        <f>PnL((($D$7*(1+N$2))+($D$5-$D$6)),$E93,(RiskSlide!$A$7),($G93+N$3),((RiskSlide!$A$12)/260),$C93,$B93,RiskSlide!$H122)</f>
        <v>10182.032939151961</v>
      </c>
      <c r="O93">
        <f>PnL((($D$7*(1+O$2))+($D$5-$D$6)),$E93,(RiskSlide!$A$7),($G93+O$3),((RiskSlide!$A$12)/260),$C93,$B93,RiskSlide!$H122)</f>
        <v>10183.744068505675</v>
      </c>
      <c r="P93">
        <f>PnL((($D$7*(1+P$2))+($D$5-$D$6)),$E93,(RiskSlide!$A$7),($G93+P$3),((RiskSlide!$A$12)/260),$C93,$B93,RiskSlide!$H122)</f>
        <v>10184.70049322008</v>
      </c>
      <c r="Q93">
        <f>PnL((($D$7*(1+Q$2))+($D$5-$D$6)),$E93,(RiskSlide!$A$7),($G93+Q$3),((RiskSlide!$A$12)/260),$C93,$B93,RiskSlide!$H122)</f>
        <v>10185.192682345192</v>
      </c>
      <c r="R93">
        <f>PnL((($D$7*(1+R$2))+($D$5-$D$6)),$E93,(RiskSlide!$A$7),($G93+R$3),((RiskSlide!$A$12)/260),$C93,$B93,RiskSlide!$H122)</f>
        <v>10185.564092536541</v>
      </c>
      <c r="S93">
        <f>PnL((($D$7*(1+S$2))+($D$5-$D$6)),$E93,(RiskSlide!$A$7),($G93+S$3),((RiskSlide!$A$12)/260),$C93,$B93,RiskSlide!$H122)</f>
        <v>10185.564092744187</v>
      </c>
      <c r="T93">
        <f>PnL((($D$7*(1+T$2))+($D$5-$D$6)),$E93,(RiskSlide!$A$7),($G93+T$3),((RiskSlide!$A$12)/260),$C93,$B93,RiskSlide!$H122)</f>
        <v>2684.487139123803</v>
      </c>
      <c r="U93">
        <f>PnL((($D$7*(1+U$2))+($D$5-$D$6)),$E93,(RiskSlide!$A$7),($G93+U$3),((RiskSlide!$A$12)/260),$C93,$B93,RiskSlide!$H122)</f>
        <v>7391.1234532779563</v>
      </c>
      <c r="V93">
        <f>PnL((($D$7*(1+V$2))+($D$5-$D$6)),$E93,(RiskSlide!$A$7),($G93+V$3),((RiskSlide!$A$12)/260),$C93,$B93,RiskSlide!$H122)</f>
        <v>9511.0229751602456</v>
      </c>
      <c r="W93">
        <f>PnL((($D$7*(1+W$2))+($D$5-$D$6)),$E93,(RiskSlide!$A$7),($G93+W$3),((RiskSlide!$A$12)/260),$C93,$B93,RiskSlide!$H122)</f>
        <v>9663.0947702160265</v>
      </c>
      <c r="X93">
        <f>PnL((($D$7*(1+X$2))+($D$5-$D$6)),$E93,(RiskSlide!$A$7),($G93+X$3),((RiskSlide!$A$12)/260),$C93,$B93,RiskSlide!$H122)</f>
        <v>9791.4874459498369</v>
      </c>
      <c r="Y93">
        <f>PnL((($D$7*(1+Y$2))+($D$5-$D$6)),$E93,(RiskSlide!$A$7),($G93+Y$3),((RiskSlide!$A$12)/260),$C93,$B93,RiskSlide!$H122)</f>
        <v>9897.4114960599873</v>
      </c>
      <c r="Z93">
        <f>PnL((($D$7*(1+Z$2))+($D$5-$D$6)),$E93,(RiskSlide!$A$7),($G93+Z$3),((RiskSlide!$A$12)/260),$C93,$B93,RiskSlide!$H122)</f>
        <v>9982.4277999290844</v>
      </c>
      <c r="AA93">
        <f>PnL((($D$7*(1+AA$2))+($D$5-$D$6)),$E93,(RiskSlide!$A$7),($G93+AA$3),((RiskSlide!$A$12)/260),$C93,$B93,RiskSlide!$H122)</f>
        <v>10184.765591974607</v>
      </c>
      <c r="AB93">
        <f>PnL((($D$7*(1+AB$2))+($D$5-$D$6)),$E93,(RiskSlide!$A$7),($G93+AB$3),((RiskSlide!$A$12)/260),$C93,$B93,RiskSlide!$H122)</f>
        <v>10185.564092744187</v>
      </c>
      <c r="AC93">
        <f>PnL((($D$7*(1+AC$2))+($D$5-$D$6)),$E93,(RiskSlide!$A$7),($G93+AC$3),((RiskSlide!$A$12)/260),$C93,$B93,RiskSlide!$H122)</f>
        <v>-13336.32778733039</v>
      </c>
      <c r="AD93">
        <f>PnL((($D$7*(1+AD$2))+($D$5-$D$6)),$E93,(RiskSlide!$A$7),($G93+AD$3),((RiskSlide!$A$12)/260),$C93,$B93,RiskSlide!$H122)</f>
        <v>-4060.0561288631525</v>
      </c>
      <c r="AE93">
        <f>PnL((($D$7*(1+AE$2))+($D$5-$D$6)),$E93,(RiskSlide!$A$7),($G93+AE$3),((RiskSlide!$A$12)/260),$C93,$B93,RiskSlide!$H122)</f>
        <v>2584.4531086264624</v>
      </c>
      <c r="AF93">
        <f>PnL((($D$7*(1+AF$2))+($D$5-$D$6)),$E93,(RiskSlide!$A$7),($G93+AF$3),((RiskSlide!$A$12)/260),$C93,$B93,RiskSlide!$H122)</f>
        <v>3335.4528394701788</v>
      </c>
      <c r="AG93">
        <f>PnL((($D$7*(1+AG$2))+($D$5-$D$6)),$E93,(RiskSlide!$A$7),($G93+AG$3),((RiskSlide!$A$12)/260),$C93,$B93,RiskSlide!$H122)</f>
        <v>4062.900381493705</v>
      </c>
      <c r="AH93">
        <f>PnL((($D$7*(1+AH$2))+($D$5-$D$6)),$E93,(RiskSlide!$A$7),($G93+AH$3),((RiskSlide!$A$12)/260),$C93,$B93,RiskSlide!$H122)</f>
        <v>4764.4670561712137</v>
      </c>
      <c r="AI93">
        <f>PnL((($D$7*(1+AI$2))+($D$5-$D$6)),$E93,(RiskSlide!$A$7),($G93+AI$3),((RiskSlide!$A$12)/260),$C93,$B93,RiskSlide!$H122)</f>
        <v>5437.5671013616511</v>
      </c>
      <c r="AJ93">
        <f>PnL((($D$7*(1+AJ$2))+($D$5-$D$6)),$E93,(RiskSlide!$A$7),($G93+AJ$3),((RiskSlide!$A$12)/260),$C93,$B93,RiskSlide!$H122)</f>
        <v>9401.0469397136658</v>
      </c>
      <c r="AK93">
        <f>PnL((($D$7*(1+AK$2))+($D$5-$D$6)),$E93,(RiskSlide!$A$7),($G93+AK$3),((RiskSlide!$A$12)/260),$C93,$B93,RiskSlide!$H122)</f>
        <v>10185.564092743767</v>
      </c>
      <c r="AL93">
        <f>PnL((($D$7*(1+AL$2))+($D$5-$D$6)),$E93,(RiskSlide!$A$7),($G93+AL$3),((RiskSlide!$A$12)/260),$C93,$B93,RiskSlide!$H122)</f>
        <v>-16358.314579062664</v>
      </c>
      <c r="AM93">
        <f>PnL((($D$7*(1+AM$2))+($D$5-$D$6)),$E93,(RiskSlide!$A$7),($G93+AM$3),((RiskSlide!$A$12)/260),$C93,$B93,RiskSlide!$H122)</f>
        <v>-6629.5511825734939</v>
      </c>
      <c r="AN93">
        <f>PnL((($D$7*(1+AN$2))+($D$5-$D$6)),$E93,(RiskSlide!$A$7),($G93+AN$3),((RiskSlide!$A$12)/260),$C93,$B93,RiskSlide!$H122)</f>
        <v>568.33634376141617</v>
      </c>
      <c r="AO93">
        <f>PnL((($D$7*(1+AO$2))+($D$5-$D$6)),$E93,(RiskSlide!$A$7),($G93+AO$3),((RiskSlide!$A$12)/260),$C93,$B93,RiskSlide!$H122)</f>
        <v>1406.4620786735986</v>
      </c>
      <c r="AP93">
        <f>PnL((($D$7*(1+AP$2))+($D$5-$D$6)),$E93,(RiskSlide!$A$7),($G93+AP$3),((RiskSlide!$A$12)/260),$C93,$B93,RiskSlide!$H122)</f>
        <v>2225.9350188361964</v>
      </c>
      <c r="AQ93">
        <f>PnL((($D$7*(1+AQ$2))+($D$5-$D$6)),$E93,(RiskSlide!$A$7),($G93+AQ$3),((RiskSlide!$A$12)/260),$C93,$B93,RiskSlide!$H122)</f>
        <v>3024.7041393793097</v>
      </c>
      <c r="AR93">
        <f>PnL((($D$7*(1+AR$2))+($D$5-$D$6)),$E93,(RiskSlide!$A$7),($G93+AR$3),((RiskSlide!$A$12)/260),$C93,$B93,RiskSlide!$H122)</f>
        <v>3800.4389564047756</v>
      </c>
      <c r="AS93">
        <f>PnL((($D$7*(1+AS$2))+($D$5-$D$6)),$E93,(RiskSlide!$A$7),($G93+AS$3),((RiskSlide!$A$12)/260),$C93,$B93,RiskSlide!$H122)</f>
        <v>8773.855894592969</v>
      </c>
      <c r="AT93">
        <f>PnL((($D$7*(1+AT$2))+($D$5-$D$6)),$E93,(RiskSlide!$A$7),($G93+AT$3),((RiskSlide!$A$12)/260),$C93,$B93,RiskSlide!$H122)</f>
        <v>10185.564091654871</v>
      </c>
      <c r="AU93">
        <f>PnL((($D$7*(1+AU$2))+($D$5-$D$6)),$E93,(RiskSlide!$A$7),($G93+AU$3),((RiskSlide!$A$12)/260),$C93,$B93,RiskSlide!$H122)</f>
        <v>-19636.367752724651</v>
      </c>
      <c r="AV93">
        <f>PnL((($D$7*(1+AV$2))+($D$5-$D$6)),$E93,(RiskSlide!$A$7),($G93+AV$3),((RiskSlide!$A$12)/260),$C93,$B93,RiskSlide!$H122)</f>
        <v>-9513.9601275280365</v>
      </c>
      <c r="AW93">
        <f>PnL((($D$7*(1+AW$2))+($D$5-$D$6)),$E93,(RiskSlide!$A$7),($G93+AW$3),((RiskSlide!$A$12)/260),$C93,$B93,RiskSlide!$H122)</f>
        <v>-1822.0306933530992</v>
      </c>
      <c r="AX93">
        <f>PnL((($D$7*(1+AX$2))+($D$5-$D$6)),$E93,(RiskSlide!$A$7),($G93+AX$3),((RiskSlide!$A$12)/260),$C93,$B93,RiskSlide!$H122)</f>
        <v>-904.27145241085327</v>
      </c>
      <c r="AY93">
        <f>PnL((($D$7*(1+AY$2))+($D$5-$D$6)),$E93,(RiskSlide!$A$7),($G93+AY$3),((RiskSlide!$A$12)/260),$C93,$B93,RiskSlide!$H122)</f>
        <v>0</v>
      </c>
      <c r="AZ93">
        <f>PnL((($D$7*(1+AZ$2))+($D$5-$D$6)),$E93,(RiskSlide!$A$7),($G93+AZ$3),((RiskSlide!$A$12)/260),$C93,$B93,RiskSlide!$H122)</f>
        <v>889.17595148421924</v>
      </c>
      <c r="BA93">
        <f>PnL((($D$7*(1+BA$2))+($D$5-$D$6)),$E93,(RiskSlide!$A$7),($G93+BA$3),((RiskSlide!$A$12)/260),$C93,$B93,RiskSlide!$H122)</f>
        <v>1761.3979069983543</v>
      </c>
      <c r="BB93">
        <f>PnL((($D$7*(1+BB$2))+($D$5-$D$6)),$E93,(RiskSlide!$A$7),($G93+BB$3),((RiskSlide!$A$12)/260),$C93,$B93,RiskSlide!$H122)</f>
        <v>7776.9219860227849</v>
      </c>
      <c r="BC93">
        <f>PnL((($D$7*(1+BC$2))+($D$5-$D$6)),$E93,(RiskSlide!$A$7),($G93+BC$3),((RiskSlide!$A$12)/260),$C93,$B93,RiskSlide!$H122)</f>
        <v>10185.563304637362</v>
      </c>
      <c r="BD93">
        <f>PnL((($D$7*(1+BD$2))+($D$5-$D$6)),$E93,(RiskSlide!$A$7),($G93+BD$3),((RiskSlide!$A$12)/260),$C93,$B93,RiskSlide!$H122)</f>
        <v>-23175.920023905121</v>
      </c>
      <c r="BE93">
        <f>PnL((($D$7*(1+BE$2))+($D$5-$D$6)),$E93,(RiskSlide!$A$7),($G93+BE$3),((RiskSlide!$A$12)/260),$C93,$B93,RiskSlide!$H122)</f>
        <v>-12726.442050641765</v>
      </c>
      <c r="BF93">
        <f>PnL((($D$7*(1+BF$2))+($D$5-$D$6)),$E93,(RiskSlide!$A$7),($G93+BF$3),((RiskSlide!$A$12)/260),$C93,$B93,RiskSlide!$H122)</f>
        <v>-4616.5896068898182</v>
      </c>
      <c r="BG93">
        <f>PnL((($D$7*(1+BG$2))+($D$5-$D$6)),$E93,(RiskSlide!$A$7),($G93+BG$3),((RiskSlide!$A$12)/260),$C93,$B93,RiskSlide!$H122)</f>
        <v>-3630.2648208856567</v>
      </c>
      <c r="BH93">
        <f>PnL((($D$7*(1+BH$2))+($D$5-$D$6)),$E93,(RiskSlide!$A$7),($G93+BH$3),((RiskSlide!$A$12)/260),$C93,$B93,RiskSlide!$H122)</f>
        <v>-2652.51885225058</v>
      </c>
      <c r="BI93">
        <f>PnL((($D$7*(1+BI$2))+($D$5-$D$6)),$E93,(RiskSlide!$A$7),($G93+BI$3),((RiskSlide!$A$12)/260),$C93,$B93,RiskSlide!$H122)</f>
        <v>-1684.4378246509564</v>
      </c>
      <c r="BJ93">
        <f>PnL((($D$7*(1+BJ$2))+($D$5-$D$6)),$E93,(RiskSlide!$A$7),($G93+BJ$3),((RiskSlide!$A$12)/260),$C93,$B93,RiskSlide!$H122)</f>
        <v>-727.29332689590365</v>
      </c>
      <c r="BK93">
        <f>PnL((($D$7*(1+BK$2))+($D$5-$D$6)),$E93,(RiskSlide!$A$7),($G93+BK$3),((RiskSlide!$A$12)/260),$C93,$B93,RiskSlide!$H122)</f>
        <v>6278.6525958027823</v>
      </c>
      <c r="BL93">
        <f>PnL((($D$7*(1+BL$2))+($D$5-$D$6)),$E93,(RiskSlide!$A$7),($G93+BL$3),((RiskSlide!$A$12)/260),$C93,$B93,RiskSlide!$H122)</f>
        <v>10185.398239791497</v>
      </c>
      <c r="BM93">
        <f>PnL((($D$7*(1+BM$2))+($D$5-$D$6)),$E93,(RiskSlide!$A$7),($G93+BM$3),((RiskSlide!$A$12)/260),$C93,$B93,RiskSlide!$H122)</f>
        <v>-26980.919630001212</v>
      </c>
      <c r="BN93">
        <f>PnL((($D$7*(1+BN$2))+($D$5-$D$6)),$E93,(RiskSlide!$A$7),($G93+BN$3),((RiskSlide!$A$12)/260),$C93,$B93,RiskSlide!$H122)</f>
        <v>-16277.226262078273</v>
      </c>
      <c r="BO93">
        <f>PnL((($D$7*(1+BO$2))+($D$5-$D$6)),$E93,(RiskSlide!$A$7),($G93+BO$3),((RiskSlide!$A$12)/260),$C93,$B93,RiskSlide!$H122)</f>
        <v>-7839.948415818355</v>
      </c>
      <c r="BP93">
        <f>PnL((($D$7*(1+BP$2))+($D$5-$D$6)),$E93,(RiskSlide!$A$7),($G93+BP$3),((RiskSlide!$A$12)/260),$C93,$B93,RiskSlide!$H122)</f>
        <v>-6799.3044727718934</v>
      </c>
      <c r="BQ93">
        <f>PnL((($D$7*(1+BQ$2))+($D$5-$D$6)),$E93,(RiskSlide!$A$7),($G93+BQ$3),((RiskSlide!$A$12)/260),$C93,$B93,RiskSlide!$H122)</f>
        <v>-5763.0988782009917</v>
      </c>
      <c r="BR93">
        <f>PnL((($D$7*(1+BR$2))+($D$5-$D$6)),$E93,(RiskSlide!$A$7),($G93+BR$3),((RiskSlide!$A$12)/260),$C93,$B93,RiskSlide!$H122)</f>
        <v>-4731.9187859098402</v>
      </c>
      <c r="BS93">
        <f>PnL((($D$7*(1+BS$2))+($D$5-$D$6)),$E93,(RiskSlide!$A$7),($G93+BS$3),((RiskSlide!$A$12)/260),$C93,$B93,RiskSlide!$H122)</f>
        <v>-3706.4577399585801</v>
      </c>
      <c r="BT93">
        <f>PnL((($D$7*(1+BT$2))+($D$5-$D$6)),$E93,(RiskSlide!$A$7),($G93+BT$3),((RiskSlide!$A$12)/260),$C93,$B93,RiskSlide!$H122)</f>
        <v>4144.055192426038</v>
      </c>
      <c r="BU93">
        <f>PnL((($D$7*(1+BU$2))+($D$5-$D$6)),$E93,(RiskSlide!$A$7),($G93+BU$3),((RiskSlide!$A$12)/260),$C93,$B93,RiskSlide!$H122)</f>
        <v>10174.836146640022</v>
      </c>
      <c r="BV93">
        <f>PnL((($D$7*(1+BV$2))+($D$5-$D$6)),$E93,(RiskSlide!$A$7),($G93+BV$3),((RiskSlide!$A$12)/260),$C93,$B93,RiskSlide!$H122)</f>
        <v>-66948.909460540846</v>
      </c>
      <c r="BW93">
        <f>PnL((($D$7*(1+BW$2))+($D$5-$D$6)),$E93,(RiskSlide!$A$7),($G93+BW$3),((RiskSlide!$A$12)/260),$C93,$B93,RiskSlide!$H122)</f>
        <v>-57012.63533023058</v>
      </c>
      <c r="BX93">
        <f>PnL((($D$7*(1+BX$2))+($D$5-$D$6)),$E93,(RiskSlide!$A$7),($G93+BX$3),((RiskSlide!$A$12)/260),$C93,$B93,RiskSlide!$H122)</f>
        <v>-49692.254323267036</v>
      </c>
      <c r="BY93">
        <f>PnL((($D$7*(1+BY$2))+($D$5-$D$6)),$E93,(RiskSlide!$A$7),($G93+BY$3),((RiskSlide!$A$12)/260),$C93,$B93,RiskSlide!$H122)</f>
        <v>-48843.162937896806</v>
      </c>
      <c r="BZ93">
        <f>PnL((($D$7*(1+BZ$2))+($D$5-$D$6)),$E93,(RiskSlide!$A$7),($G93+BZ$3),((RiskSlide!$A$12)/260),$C93,$B93,RiskSlide!$H122)</f>
        <v>-48013.981597085658</v>
      </c>
      <c r="CA93">
        <f>PnL((($D$7*(1+CA$2))+($D$5-$D$6)),$E93,(RiskSlide!$A$7),($G93+CA$3),((RiskSlide!$A$12)/260),$C93,$B93,RiskSlide!$H122)</f>
        <v>-47206.870608788733</v>
      </c>
      <c r="CB93">
        <f>PnL((($D$7*(1+CB$2))+($D$5-$D$6)),$E93,(RiskSlide!$A$7),($G93+CB$3),((RiskSlide!$A$12)/260),$C93,$B93,RiskSlide!$H122)</f>
        <v>-46424.277617502696</v>
      </c>
      <c r="CC93">
        <f>PnL((($D$7*(1+CC$2))+($D$5-$D$6)),$E93,(RiskSlide!$A$7),($G93+CC$3),((RiskSlide!$A$12)/260),$C93,$B93,RiskSlide!$H122)</f>
        <v>-41463.393963684495</v>
      </c>
      <c r="CD93">
        <f>PnL((($D$7*(1+CD$2))+($D$5-$D$6)),$E93,(RiskSlide!$A$7),($G93+CD$3),((RiskSlide!$A$12)/260),$C93,$B93,RiskSlide!$H122)</f>
        <v>-40123.725809570773</v>
      </c>
      <c r="CE93">
        <f>PnL((($D$7*(1+CE$2))+($D$5-$D$6)),$E93,(RiskSlide!$A$7),($G93+CE$3),((RiskSlide!$A$12)/260),$C93,$B93,RiskSlide!$H122)</f>
        <v>-137061.78630539519</v>
      </c>
      <c r="CF93">
        <f>PnL((($D$7*(1+CF$2))+($D$5-$D$6)),$E93,(RiskSlide!$A$7),($G93+CF$3),((RiskSlide!$A$12)/260),$C93,$B93,RiskSlide!$H122)</f>
        <v>-132099.88547108861</v>
      </c>
      <c r="CG93">
        <f>PnL((($D$7*(1+CG$2))+($D$5-$D$6)),$E93,(RiskSlide!$A$7),($G93+CG$3),((RiskSlide!$A$12)/260),$C93,$B93,RiskSlide!$H122)</f>
        <v>-129896.93180069895</v>
      </c>
      <c r="CH93">
        <f>PnL((($D$7*(1+CH$2))+($D$5-$D$6)),$E93,(RiskSlide!$A$7),($G93+CH$3),((RiskSlide!$A$12)/260),$C93,$B93,RiskSlide!$H122)</f>
        <v>-129741.24701134479</v>
      </c>
      <c r="CI93">
        <f>PnL((($D$7*(1+CI$2))+($D$5-$D$6)),$E93,(RiskSlide!$A$7),($G93+CI$3),((RiskSlide!$A$12)/260),$C93,$B93,RiskSlide!$H122)</f>
        <v>-129610.37574942526</v>
      </c>
      <c r="CJ93">
        <f>PnL((($D$7*(1+CJ$2))+($D$5-$D$6)),$E93,(RiskSlide!$A$7),($G93+CJ$3),((RiskSlide!$A$12)/260),$C93,$B93,RiskSlide!$H122)</f>
        <v>-129502.94036054885</v>
      </c>
      <c r="CK93">
        <f>PnL((($D$7*(1+CK$2))+($D$5-$D$6)),$E93,(RiskSlide!$A$7),($G93+CK$3),((RiskSlide!$A$12)/260),$C93,$B93,RiskSlide!$H122)</f>
        <v>-129417.19765423937</v>
      </c>
      <c r="CL93">
        <f>PnL((($D$7*(1+CL$2))+($D$5-$D$6)),$E93,(RiskSlide!$A$7),($G93+CL$3),((RiskSlide!$A$12)/260),$C93,$B93,RiskSlide!$H122)</f>
        <v>-129217.42890554771</v>
      </c>
      <c r="CM93">
        <f>PnL((($D$7*(1+CM$2))+($D$5-$D$6)),$E93,(RiskSlide!$A$7),($G93+CM$3),((RiskSlide!$A$12)/260),$C93,$B93,RiskSlide!$H122)</f>
        <v>-129216.72580917226</v>
      </c>
    </row>
    <row r="94" spans="1:91" x14ac:dyDescent="0.25">
      <c r="A94" t="s">
        <v>89</v>
      </c>
      <c r="B94">
        <v>4</v>
      </c>
      <c r="C94">
        <v>1</v>
      </c>
      <c r="E94">
        <v>1820</v>
      </c>
      <c r="F94">
        <v>3.5000000000000001E-3</v>
      </c>
      <c r="G94">
        <v>0.11287800000000001</v>
      </c>
      <c r="K94">
        <f>PnL((($D$7*(1+K$2))+($D$5-$D$6)),$E94,(RiskSlide!$A$7),($G94+K$3),((RiskSlide!$A$12)/260),$C94,$B94,RiskSlide!$H123)</f>
        <v>-1549.5133533032104</v>
      </c>
      <c r="L94">
        <f>PnL((($D$7*(1+L$2))+($D$5-$D$6)),$E94,(RiskSlide!$A$7),($G94+L$3),((RiskSlide!$A$12)/260),$C94,$B94,RiskSlide!$H123)</f>
        <v>-1708.4143961244408</v>
      </c>
      <c r="M94">
        <f>PnL((($D$7*(1+M$2))+($D$5-$D$6)),$E94,(RiskSlide!$A$7),($G94+M$3),((RiskSlide!$A$12)/260),$C94,$B94,RiskSlide!$H123)</f>
        <v>-1730.1171358685035</v>
      </c>
      <c r="N94">
        <f>PnL((($D$7*(1+N$2))+($D$5-$D$6)),$E94,(RiskSlide!$A$7),($G94+N$3),((RiskSlide!$A$12)/260),$C94,$B94,RiskSlide!$H123)</f>
        <v>-1730.4893763948285</v>
      </c>
      <c r="O94">
        <f>PnL((($D$7*(1+O$2))+($D$5-$D$6)),$E94,(RiskSlide!$A$7),($G94+O$3),((RiskSlide!$A$12)/260),$C94,$B94,RiskSlide!$H123)</f>
        <v>-1730.7025359460333</v>
      </c>
      <c r="P94">
        <f>PnL((($D$7*(1+P$2))+($D$5-$D$6)),$E94,(RiskSlide!$A$7),($G94+P$3),((RiskSlide!$A$12)/260),$C94,$B94,RiskSlide!$H123)</f>
        <v>-1730.8155742691661</v>
      </c>
      <c r="Q94">
        <f>PnL((($D$7*(1+Q$2))+($D$5-$D$6)),$E94,(RiskSlide!$A$7),($G94+Q$3),((RiskSlide!$A$12)/260),$C94,$B94,RiskSlide!$H123)</f>
        <v>-1730.8702778225559</v>
      </c>
      <c r="R94">
        <f>PnL((($D$7*(1+R$2))+($D$5-$D$6)),$E94,(RiskSlide!$A$7),($G94+R$3),((RiskSlide!$A$12)/260),$C94,$B94,RiskSlide!$H123)</f>
        <v>-1730.9068663391636</v>
      </c>
      <c r="S94">
        <f>PnL((($D$7*(1+S$2))+($D$5-$D$6)),$E94,(RiskSlide!$A$7),($G94+S$3),((RiskSlide!$A$12)/260),$C94,$B94,RiskSlide!$H123)</f>
        <v>-1730.9068663436278</v>
      </c>
      <c r="T94">
        <f>PnL((($D$7*(1+T$2))+($D$5-$D$6)),$E94,(RiskSlide!$A$7),($G94+T$3),((RiskSlide!$A$12)/260),$C94,$B94,RiskSlide!$H123)</f>
        <v>-386.85851503654476</v>
      </c>
      <c r="U94">
        <f>PnL((($D$7*(1+U$2))+($D$5-$D$6)),$E94,(RiskSlide!$A$7),($G94+U$3),((RiskSlide!$A$12)/260),$C94,$B94,RiskSlide!$H123)</f>
        <v>-1259.372743462319</v>
      </c>
      <c r="V94">
        <f>PnL((($D$7*(1+V$2))+($D$5-$D$6)),$E94,(RiskSlide!$A$7),($G94+V$3),((RiskSlide!$A$12)/260),$C94,$B94,RiskSlide!$H123)</f>
        <v>-1628.854188388317</v>
      </c>
      <c r="W94">
        <f>PnL((($D$7*(1+W$2))+($D$5-$D$6)),$E94,(RiskSlide!$A$7),($G94+W$3),((RiskSlide!$A$12)/260),$C94,$B94,RiskSlide!$H123)</f>
        <v>-1653.5979276305297</v>
      </c>
      <c r="X94">
        <f>PnL((($D$7*(1+X$2))+($D$5-$D$6)),$E94,(RiskSlide!$A$7),($G94+X$3),((RiskSlide!$A$12)/260),$C94,$B94,RiskSlide!$H123)</f>
        <v>-1674.0572608753232</v>
      </c>
      <c r="Y94">
        <f>PnL((($D$7*(1+Y$2))+($D$5-$D$6)),$E94,(RiskSlide!$A$7),($G94+Y$3),((RiskSlide!$A$12)/260),$C94,$B94,RiskSlide!$H123)</f>
        <v>-1690.5339915328505</v>
      </c>
      <c r="Z94">
        <f>PnL((($D$7*(1+Z$2))+($D$5-$D$6)),$E94,(RiskSlide!$A$7),($G94+Z$3),((RiskSlide!$A$12)/260),$C94,$B94,RiskSlide!$H123)</f>
        <v>-1703.3925575228868</v>
      </c>
      <c r="AA94">
        <f>PnL((($D$7*(1+AA$2))+($D$5-$D$6)),$E94,(RiskSlide!$A$7),($G94+AA$3),((RiskSlide!$A$12)/260),$C94,$B94,RiskSlide!$H123)</f>
        <v>-1730.8521970099669</v>
      </c>
      <c r="AB94">
        <f>PnL((($D$7*(1+AB$2))+($D$5-$D$6)),$E94,(RiskSlide!$A$7),($G94+AB$3),((RiskSlide!$A$12)/260),$C94,$B94,RiskSlide!$H123)</f>
        <v>-1730.9068663436278</v>
      </c>
      <c r="AC94">
        <f>PnL((($D$7*(1+AC$2))+($D$5-$D$6)),$E94,(RiskSlide!$A$7),($G94+AC$3),((RiskSlide!$A$12)/260),$C94,$B94,RiskSlide!$H123)</f>
        <v>2615.4832077750257</v>
      </c>
      <c r="AD94">
        <f>PnL((($D$7*(1+AD$2))+($D$5-$D$6)),$E94,(RiskSlide!$A$7),($G94+AD$3),((RiskSlide!$A$12)/260),$C94,$B94,RiskSlide!$H123)</f>
        <v>814.58312881735537</v>
      </c>
      <c r="AE94">
        <f>PnL((($D$7*(1+AE$2))+($D$5-$D$6)),$E94,(RiskSlide!$A$7),($G94+AE$3),((RiskSlide!$A$12)/260),$C94,$B94,RiskSlide!$H123)</f>
        <v>-444.674583787139</v>
      </c>
      <c r="AF94">
        <f>PnL((($D$7*(1+AF$2))+($D$5-$D$6)),$E94,(RiskSlide!$A$7),($G94+AF$3),((RiskSlide!$A$12)/260),$C94,$B94,RiskSlide!$H123)</f>
        <v>-583.75103399355339</v>
      </c>
      <c r="AG94">
        <f>PnL((($D$7*(1+AG$2))+($D$5-$D$6)),$E94,(RiskSlide!$A$7),($G94+AG$3),((RiskSlide!$A$12)/260),$C94,$B94,RiskSlide!$H123)</f>
        <v>-717.47121651128509</v>
      </c>
      <c r="AH94">
        <f>PnL((($D$7*(1+AH$2))+($D$5-$D$6)),$E94,(RiskSlide!$A$7),($G94+AH$3),((RiskSlide!$A$12)/260),$C94,$B94,RiskSlide!$H123)</f>
        <v>-845.34135522887937</v>
      </c>
      <c r="AI94">
        <f>PnL((($D$7*(1+AI$2))+($D$5-$D$6)),$E94,(RiskSlide!$A$7),($G94+AI$3),((RiskSlide!$A$12)/260),$C94,$B94,RiskSlide!$H123)</f>
        <v>-966.8227559452589</v>
      </c>
      <c r="AJ94">
        <f>PnL((($D$7*(1+AJ$2))+($D$5-$D$6)),$E94,(RiskSlide!$A$7),($G94+AJ$3),((RiskSlide!$A$12)/260),$C94,$B94,RiskSlide!$H123)</f>
        <v>-1634.1010425506638</v>
      </c>
      <c r="AK94">
        <f>PnL((($D$7*(1+AK$2))+($D$5-$D$6)),$E94,(RiskSlide!$A$7),($G94+AK$3),((RiskSlide!$A$12)/260),$C94,$B94,RiskSlide!$H123)</f>
        <v>-1730.9068663436278</v>
      </c>
      <c r="AL94">
        <f>PnL((($D$7*(1+AL$2))+($D$5-$D$6)),$E94,(RiskSlide!$A$7),($G94+AL$3),((RiskSlide!$A$12)/260),$C94,$B94,RiskSlide!$H123)</f>
        <v>3189.966024094872</v>
      </c>
      <c r="AM94">
        <f>PnL((($D$7*(1+AM$2))+($D$5-$D$6)),$E94,(RiskSlide!$A$7),($G94+AM$3),((RiskSlide!$A$12)/260),$C94,$B94,RiskSlide!$H123)</f>
        <v>1291.5200751174325</v>
      </c>
      <c r="AN94">
        <f>PnL((($D$7*(1+AN$2))+($D$5-$D$6)),$E94,(RiskSlide!$A$7),($G94+AN$3),((RiskSlide!$A$12)/260),$C94,$B94,RiskSlide!$H123)</f>
        <v>-85.261723640496712</v>
      </c>
      <c r="AO94">
        <f>PnL((($D$7*(1+AO$2))+($D$5-$D$6)),$E94,(RiskSlide!$A$7),($G94+AO$3),((RiskSlide!$A$12)/260),$C94,$B94,RiskSlide!$H123)</f>
        <v>-242.56974349021903</v>
      </c>
      <c r="AP94">
        <f>PnL((($D$7*(1+AP$2))+($D$5-$D$6)),$E94,(RiskSlide!$A$7),($G94+AP$3),((RiskSlide!$A$12)/260),$C94,$B94,RiskSlide!$H123)</f>
        <v>-395.44388554627403</v>
      </c>
      <c r="AQ94">
        <f>PnL((($D$7*(1+AQ$2))+($D$5-$D$6)),$E94,(RiskSlide!$A$7),($G94+AQ$3),((RiskSlide!$A$12)/260),$C94,$B94,RiskSlide!$H123)</f>
        <v>-543.41959661219335</v>
      </c>
      <c r="AR94">
        <f>PnL((($D$7*(1+AR$2))+($D$5-$D$6)),$E94,(RiskSlide!$A$7),($G94+AR$3),((RiskSlide!$A$12)/260),$C94,$B94,RiskSlide!$H123)</f>
        <v>-685.97534741269328</v>
      </c>
      <c r="AS94">
        <f>PnL((($D$7*(1+AS$2))+($D$5-$D$6)),$E94,(RiskSlide!$A$7),($G94+AS$3),((RiskSlide!$A$12)/260),$C94,$B94,RiskSlide!$H123)</f>
        <v>-1547.0713853275329</v>
      </c>
      <c r="AT94">
        <f>PnL((($D$7*(1+AT$2))+($D$5-$D$6)),$E94,(RiskSlide!$A$7),($G94+AT$3),((RiskSlide!$A$12)/260),$C94,$B94,RiskSlide!$H123)</f>
        <v>-1730.9068663436226</v>
      </c>
      <c r="AU94">
        <f>PnL((($D$7*(1+AU$2))+($D$5-$D$6)),$E94,(RiskSlide!$A$7),($G94+AU$3),((RiskSlide!$A$12)/260),$C94,$B94,RiskSlide!$H123)</f>
        <v>3815.1284815380563</v>
      </c>
      <c r="AV94">
        <f>PnL((($D$7*(1+AV$2))+($D$5-$D$6)),$E94,(RiskSlide!$A$7),($G94+AV$3),((RiskSlide!$A$12)/260),$C94,$B94,RiskSlide!$H123)</f>
        <v>1830.0254785835136</v>
      </c>
      <c r="AW94">
        <f>PnL((($D$7*(1+AW$2))+($D$5-$D$6)),$E94,(RiskSlide!$A$7),($G94+AW$3),((RiskSlide!$A$12)/260),$C94,$B94,RiskSlide!$H123)</f>
        <v>345.56565502884951</v>
      </c>
      <c r="AX94">
        <f>PnL((($D$7*(1+AX$2))+($D$5-$D$6)),$E94,(RiskSlide!$A$7),($G94+AX$3),((RiskSlide!$A$12)/260),$C94,$B94,RiskSlide!$H123)</f>
        <v>171.08626755189107</v>
      </c>
      <c r="AY94">
        <f>PnL((($D$7*(1+AY$2))+($D$5-$D$6)),$E94,(RiskSlide!$A$7),($G94+AY$3),((RiskSlide!$A$12)/260),$C94,$B94,RiskSlide!$H123)</f>
        <v>0</v>
      </c>
      <c r="AZ94">
        <f>PnL((($D$7*(1+AZ$2))+($D$5-$D$6)),$E94,(RiskSlide!$A$7),($G94+AZ$3),((RiskSlide!$A$12)/260),$C94,$B94,RiskSlide!$H123)</f>
        <v>-167.30139776519763</v>
      </c>
      <c r="BA94">
        <f>PnL((($D$7*(1+BA$2))+($D$5-$D$6)),$E94,(RiskSlide!$A$7),($G94+BA$3),((RiskSlide!$A$12)/260),$C94,$B94,RiskSlide!$H123)</f>
        <v>-330.36870316715294</v>
      </c>
      <c r="BB94">
        <f>PnL((($D$7*(1+BB$2))+($D$5-$D$6)),$E94,(RiskSlide!$A$7),($G94+BB$3),((RiskSlide!$A$12)/260),$C94,$B94,RiskSlide!$H123)</f>
        <v>-1401.3027082050201</v>
      </c>
      <c r="BC94">
        <f>PnL((($D$7*(1+BC$2))+($D$5-$D$6)),$E94,(RiskSlide!$A$7),($G94+BC$3),((RiskSlide!$A$12)/260),$C94,$B94,RiskSlide!$H123)</f>
        <v>-1730.9068662919078</v>
      </c>
      <c r="BD94">
        <f>PnL((($D$7*(1+BD$2))+($D$5-$D$6)),$E94,(RiskSlide!$A$7),($G94+BD$3),((RiskSlide!$A$12)/260),$C94,$B94,RiskSlide!$H123)</f>
        <v>4492.2406507028081</v>
      </c>
      <c r="BE94">
        <f>PnL((($D$7*(1+BE$2))+($D$5-$D$6)),$E94,(RiskSlide!$A$7),($G94+BE$3),((RiskSlide!$A$12)/260),$C94,$B94,RiskSlide!$H123)</f>
        <v>2433.0998422639027</v>
      </c>
      <c r="BF94">
        <f>PnL((($D$7*(1+BF$2))+($D$5-$D$6)),$E94,(RiskSlide!$A$7),($G94+BF$3),((RiskSlide!$A$12)/260),$C94,$B94,RiskSlide!$H123)</f>
        <v>854.46959827735327</v>
      </c>
      <c r="BG94">
        <f>PnL((($D$7*(1+BG$2))+($D$5-$D$6)),$E94,(RiskSlide!$A$7),($G94+BG$3),((RiskSlide!$A$12)/260),$C94,$B94,RiskSlide!$H123)</f>
        <v>664.6425027282362</v>
      </c>
      <c r="BH94">
        <f>PnL((($D$7*(1+BH$2))+($D$5-$D$6)),$E94,(RiskSlide!$A$7),($G94+BH$3),((RiskSlide!$A$12)/260),$C94,$B94,RiskSlide!$H123)</f>
        <v>477.15346308930293</v>
      </c>
      <c r="BI94">
        <f>PnL((($D$7*(1+BI$2))+($D$5-$D$6)),$E94,(RiskSlide!$A$7),($G94+BI$3),((RiskSlide!$A$12)/260),$C94,$B94,RiskSlide!$H123)</f>
        <v>292.29290565871224</v>
      </c>
      <c r="BJ94">
        <f>PnL((($D$7*(1+BJ$2))+($D$5-$D$6)),$E94,(RiskSlide!$A$7),($G94+BJ$3),((RiskSlide!$A$12)/260),$C94,$B94,RiskSlide!$H123)</f>
        <v>110.39916164485248</v>
      </c>
      <c r="BK94">
        <f>PnL((($D$7*(1+BK$2))+($D$5-$D$6)),$E94,(RiskSlide!$A$7),($G94+BK$3),((RiskSlide!$A$12)/260),$C94,$B94,RiskSlide!$H123)</f>
        <v>-1171.4526809180938</v>
      </c>
      <c r="BL94">
        <f>PnL((($D$7*(1+BL$2))+($D$5-$D$6)),$E94,(RiskSlide!$A$7),($G94+BL$3),((RiskSlide!$A$12)/260),$C94,$B94,RiskSlide!$H123)</f>
        <v>-1730.9067659671762</v>
      </c>
      <c r="BM94">
        <f>PnL((($D$7*(1+BM$2))+($D$5-$D$6)),$E94,(RiskSlide!$A$7),($G94+BM$3),((RiskSlide!$A$12)/260),$C94,$B94,RiskSlide!$H123)</f>
        <v>5222.2794760261768</v>
      </c>
      <c r="BN94">
        <f>PnL((($D$7*(1+BN$2))+($D$5-$D$6)),$E94,(RiskSlide!$A$7),($G94+BN$3),((RiskSlide!$A$12)/260),$C94,$B94,RiskSlide!$H123)</f>
        <v>3103.1843227345121</v>
      </c>
      <c r="BO94">
        <f>PnL((($D$7*(1+BO$2))+($D$5-$D$6)),$E94,(RiskSlide!$A$7),($G94+BO$3),((RiskSlide!$A$12)/260),$C94,$B94,RiskSlide!$H123)</f>
        <v>1447.1768707442038</v>
      </c>
      <c r="BP94">
        <f>PnL((($D$7*(1+BP$2))+($D$5-$D$6)),$E94,(RiskSlide!$A$7),($G94+BP$3),((RiskSlide!$A$12)/260),$C94,$B94,RiskSlide!$H123)</f>
        <v>1244.5411930431987</v>
      </c>
      <c r="BQ94">
        <f>PnL((($D$7*(1+BQ$2))+($D$5-$D$6)),$E94,(RiskSlide!$A$7),($G94+BQ$3),((RiskSlide!$A$12)/260),$C94,$B94,RiskSlide!$H123)</f>
        <v>1043.2847965640008</v>
      </c>
      <c r="BR94">
        <f>PnL((($D$7*(1+BR$2))+($D$5-$D$6)),$E94,(RiskSlide!$A$7),($G94+BR$3),((RiskSlide!$A$12)/260),$C94,$B94,RiskSlide!$H123)</f>
        <v>843.58850255222251</v>
      </c>
      <c r="BS94">
        <f>PnL((($D$7*(1+BS$2))+($D$5-$D$6)),$E94,(RiskSlide!$A$7),($G94+BS$3),((RiskSlide!$A$12)/260),$C94,$B94,RiskSlide!$H123)</f>
        <v>645.66537788153937</v>
      </c>
      <c r="BT94">
        <f>PnL((($D$7*(1+BT$2))+($D$5-$D$6)),$E94,(RiskSlide!$A$7),($G94+BT$3),((RiskSlide!$A$12)/260),$C94,$B94,RiskSlide!$H123)</f>
        <v>-829.3544875962084</v>
      </c>
      <c r="BU94">
        <f>PnL((($D$7*(1+BU$2))+($D$5-$D$6)),$E94,(RiskSlide!$A$7),($G94+BU$3),((RiskSlide!$A$12)/260),$C94,$B94,RiskSlide!$H123)</f>
        <v>-1730.8659726754508</v>
      </c>
      <c r="BV94">
        <f>PnL((($D$7*(1+BV$2))+($D$5-$D$6)),$E94,(RiskSlide!$A$7),($G94+BV$3),((RiskSlide!$A$12)/260),$C94,$B94,RiskSlide!$H123)</f>
        <v>12983.454899540686</v>
      </c>
      <c r="BW94">
        <f>PnL((($D$7*(1+BW$2))+($D$5-$D$6)),$E94,(RiskSlide!$A$7),($G94+BW$3),((RiskSlide!$A$12)/260),$C94,$B94,RiskSlide!$H123)</f>
        <v>10952.896846131182</v>
      </c>
      <c r="BX94">
        <f>PnL((($D$7*(1+BX$2))+($D$5-$D$6)),$E94,(RiskSlide!$A$7),($G94+BX$3),((RiskSlide!$A$12)/260),$C94,$B94,RiskSlide!$H123)</f>
        <v>9436.4793813591514</v>
      </c>
      <c r="BY94">
        <f>PnL((($D$7*(1+BY$2))+($D$5-$D$6)),$E94,(RiskSlide!$A$7),($G94+BY$3),((RiskSlide!$A$12)/260),$C94,$B94,RiskSlide!$H123)</f>
        <v>9258.4632224932757</v>
      </c>
      <c r="BZ94">
        <f>PnL((($D$7*(1+BZ$2))+($D$5-$D$6)),$E94,(RiskSlide!$A$7),($G94+BZ$3),((RiskSlide!$A$12)/260),$C94,$B94,RiskSlide!$H123)</f>
        <v>9083.9771402536935</v>
      </c>
      <c r="CA94">
        <f>PnL((($D$7*(1+CA$2))+($D$5-$D$6)),$E94,(RiskSlide!$A$7),($G94+CA$3),((RiskSlide!$A$12)/260),$C94,$B94,RiskSlide!$H123)</f>
        <v>8913.4270411317739</v>
      </c>
      <c r="CB94">
        <f>PnL((($D$7*(1+CB$2))+($D$5-$D$6)),$E94,(RiskSlide!$A$7),($G94+CB$3),((RiskSlide!$A$12)/260),$C94,$B94,RiskSlide!$H123)</f>
        <v>8747.2779704101977</v>
      </c>
      <c r="CC94">
        <f>PnL((($D$7*(1+CC$2))+($D$5-$D$6)),$E94,(RiskSlide!$A$7),($G94+CC$3),((RiskSlide!$A$12)/260),$C94,$B94,RiskSlide!$H123)</f>
        <v>7660.1666071679228</v>
      </c>
      <c r="CD94">
        <f>PnL((($D$7*(1+CD$2))+($D$5-$D$6)),$E94,(RiskSlide!$A$7),($G94+CD$3),((RiskSlide!$A$12)/260),$C94,$B94,RiskSlide!$H123)</f>
        <v>7331.2741388143986</v>
      </c>
      <c r="CE94">
        <f>PnL((($D$7*(1+CE$2))+($D$5-$D$6)),$E94,(RiskSlide!$A$7),($G94+CE$3),((RiskSlide!$A$12)/260),$C94,$B94,RiskSlide!$H123)</f>
        <v>26816.387515008377</v>
      </c>
      <c r="CF94">
        <f>PnL((($D$7*(1+CF$2))+($D$5-$D$6)),$E94,(RiskSlide!$A$7),($G94+CF$3),((RiskSlide!$A$12)/260),$C94,$B94,RiskSlide!$H123)</f>
        <v>25775.573423291382</v>
      </c>
      <c r="CG94">
        <f>PnL((($D$7*(1+CG$2))+($D$5-$D$6)),$E94,(RiskSlide!$A$7),($G94+CG$3),((RiskSlide!$A$12)/260),$C94,$B94,RiskSlide!$H123)</f>
        <v>25301.848148464218</v>
      </c>
      <c r="CH94">
        <f>PnL((($D$7*(1+CH$2))+($D$5-$D$6)),$E94,(RiskSlide!$A$7),($G94+CH$3),((RiskSlide!$A$12)/260),$C94,$B94,RiskSlide!$H123)</f>
        <v>25267.622588235565</v>
      </c>
      <c r="CI94">
        <f>PnL((($D$7*(1+CI$2))+($D$5-$D$6)),$E94,(RiskSlide!$A$7),($G94+CI$3),((RiskSlide!$A$12)/260),$C94,$B94,RiskSlide!$H123)</f>
        <v>25238.688989408922</v>
      </c>
      <c r="CJ94">
        <f>PnL((($D$7*(1+CJ$2))+($D$5-$D$6)),$E94,(RiskSlide!$A$7),($G94+CJ$3),((RiskSlide!$A$12)/260),$C94,$B94,RiskSlide!$H123)</f>
        <v>25214.792270308964</v>
      </c>
      <c r="CK94">
        <f>PnL((($D$7*(1+CK$2))+($D$5-$D$6)),$E94,(RiskSlide!$A$7),($G94+CK$3),((RiskSlide!$A$12)/260),$C94,$B94,RiskSlide!$H123)</f>
        <v>25195.596647933518</v>
      </c>
      <c r="CL94">
        <f>PnL((($D$7*(1+CL$2))+($D$5-$D$6)),$E94,(RiskSlide!$A$7),($G94+CL$3),((RiskSlide!$A$12)/260),$C94,$B94,RiskSlide!$H123)</f>
        <v>25150.038382048901</v>
      </c>
      <c r="CM94">
        <f>PnL((($D$7*(1+CM$2))+($D$5-$D$6)),$E94,(RiskSlide!$A$7),($G94+CM$3),((RiskSlide!$A$12)/260),$C94,$B94,RiskSlide!$H123)</f>
        <v>25149.874138778989</v>
      </c>
    </row>
    <row r="95" spans="1:91" x14ac:dyDescent="0.25">
      <c r="A95" t="s">
        <v>90</v>
      </c>
      <c r="B95">
        <v>11</v>
      </c>
      <c r="C95">
        <v>1</v>
      </c>
      <c r="E95">
        <v>1830</v>
      </c>
      <c r="F95">
        <v>3.5000000000000001E-3</v>
      </c>
      <c r="G95">
        <v>0.10985</v>
      </c>
      <c r="K95">
        <f>PnL((($D$7*(1+K$2))+($D$5-$D$6)),$E95,(RiskSlide!$A$7),($G95+K$3),((RiskSlide!$A$12)/260),$C95,$B95,RiskSlide!$H124)</f>
        <v>-2998.9494011803336</v>
      </c>
      <c r="L95">
        <f>PnL((($D$7*(1+L$2))+($D$5-$D$6)),$E95,(RiskSlide!$A$7),($G95+L$3),((RiskSlide!$A$12)/260),$C95,$B95,RiskSlide!$H124)</f>
        <v>-3323.2344918881249</v>
      </c>
      <c r="M95">
        <f>PnL((($D$7*(1+M$2))+($D$5-$D$6)),$E95,(RiskSlide!$A$7),($G95+M$3),((RiskSlide!$A$12)/260),$C95,$B95,RiskSlide!$H124)</f>
        <v>-3358.1394851495111</v>
      </c>
      <c r="N95">
        <f>PnL((($D$7*(1+N$2))+($D$5-$D$6)),$E95,(RiskSlide!$A$7),($G95+N$3),((RiskSlide!$A$12)/260),$C95,$B95,RiskSlide!$H124)</f>
        <v>-3358.5569477290101</v>
      </c>
      <c r="O95">
        <f>PnL((($D$7*(1+O$2))+($D$5-$D$6)),$E95,(RiskSlide!$A$7),($G95+O$3),((RiskSlide!$A$12)/260),$C95,$B95,RiskSlide!$H124)</f>
        <v>-3358.7740369440044</v>
      </c>
      <c r="P95">
        <f>PnL((($D$7*(1+P$2))+($D$5-$D$6)),$E95,(RiskSlide!$A$7),($G95+P$3),((RiskSlide!$A$12)/260),$C95,$B95,RiskSlide!$H124)</f>
        <v>-3358.8769513675538</v>
      </c>
      <c r="Q95">
        <f>PnL((($D$7*(1+Q$2))+($D$5-$D$6)),$E95,(RiskSlide!$A$7),($G95+Q$3),((RiskSlide!$A$12)/260),$C95,$B95,RiskSlide!$H124)</f>
        <v>-3358.9206284318052</v>
      </c>
      <c r="R95">
        <f>PnL((($D$7*(1+R$2))+($D$5-$D$6)),$E95,(RiskSlide!$A$7),($G95+R$3),((RiskSlide!$A$12)/260),$C95,$B95,RiskSlide!$H124)</f>
        <v>-3358.9436103038715</v>
      </c>
      <c r="S95">
        <f>PnL((($D$7*(1+S$2))+($D$5-$D$6)),$E95,(RiskSlide!$A$7),($G95+S$3),((RiskSlide!$A$12)/260),$C95,$B95,RiskSlide!$H124)</f>
        <v>-3358.9436103039702</v>
      </c>
      <c r="T95">
        <f>PnL((($D$7*(1+T$2))+($D$5-$D$6)),$E95,(RiskSlide!$A$7),($G95+T$3),((RiskSlide!$A$12)/260),$C95,$B95,RiskSlide!$H124)</f>
        <v>-405.77586778221075</v>
      </c>
      <c r="U95">
        <f>PnL((($D$7*(1+U$2))+($D$5-$D$6)),$E95,(RiskSlide!$A$7),($G95+U$3),((RiskSlide!$A$12)/260),$C95,$B95,RiskSlide!$H124)</f>
        <v>-2445.9614325930088</v>
      </c>
      <c r="V95">
        <f>PnL((($D$7*(1+V$2))+($D$5-$D$6)),$E95,(RiskSlide!$A$7),($G95+V$3),((RiskSlide!$A$12)/260),$C95,$B95,RiskSlide!$H124)</f>
        <v>-3202.5903653360201</v>
      </c>
      <c r="W95">
        <f>PnL((($D$7*(1+W$2))+($D$5-$D$6)),$E95,(RiskSlide!$A$7),($G95+W$3),((RiskSlide!$A$12)/260),$C95,$B95,RiskSlide!$H124)</f>
        <v>-3246.0706162836441</v>
      </c>
      <c r="X95">
        <f>PnL((($D$7*(1+X$2))+($D$5-$D$6)),$E95,(RiskSlide!$A$7),($G95+X$3),((RiskSlide!$A$12)/260),$C95,$B95,RiskSlide!$H124)</f>
        <v>-3280.4020168368329</v>
      </c>
      <c r="Y95">
        <f>PnL((($D$7*(1+Y$2))+($D$5-$D$6)),$E95,(RiskSlide!$A$7),($G95+Y$3),((RiskSlide!$A$12)/260),$C95,$B95,RiskSlide!$H124)</f>
        <v>-3306.6122407647354</v>
      </c>
      <c r="Z95">
        <f>PnL((($D$7*(1+Z$2))+($D$5-$D$6)),$E95,(RiskSlide!$A$7),($G95+Z$3),((RiskSlide!$A$12)/260),$C95,$B95,RiskSlide!$H124)</f>
        <v>-3325.8309611586278</v>
      </c>
      <c r="AA95">
        <f>PnL((($D$7*(1+AA$2))+($D$5-$D$6)),$E95,(RiskSlide!$A$7),($G95+AA$3),((RiskSlide!$A$12)/260),$C95,$B95,RiskSlide!$H124)</f>
        <v>-3358.9296216793468</v>
      </c>
      <c r="AB95">
        <f>PnL((($D$7*(1+AB$2))+($D$5-$D$6)),$E95,(RiskSlide!$A$7),($G95+AB$3),((RiskSlide!$A$12)/260),$C95,$B95,RiskSlide!$H124)</f>
        <v>-3358.9436103039702</v>
      </c>
      <c r="AC95">
        <f>PnL((($D$7*(1+AC$2))+($D$5-$D$6)),$E95,(RiskSlide!$A$7),($G95+AC$3),((RiskSlide!$A$12)/260),$C95,$B95,RiskSlide!$H124)</f>
        <v>6800.5031136543575</v>
      </c>
      <c r="AD95">
        <f>PnL((($D$7*(1+AD$2))+($D$5-$D$6)),$E95,(RiskSlide!$A$7),($G95+AD$3),((RiskSlide!$A$12)/260),$C95,$B95,RiskSlide!$H124)</f>
        <v>2177.6552058530001</v>
      </c>
      <c r="AE95">
        <f>PnL((($D$7*(1+AE$2))+($D$5-$D$6)),$E95,(RiskSlide!$A$7),($G95+AE$3),((RiskSlide!$A$12)/260),$C95,$B95,RiskSlide!$H124)</f>
        <v>-877.25088461544942</v>
      </c>
      <c r="AF95">
        <f>PnL((($D$7*(1+AF$2))+($D$5-$D$6)),$E95,(RiskSlide!$A$7),($G95+AF$3),((RiskSlide!$A$12)/260),$C95,$B95,RiskSlide!$H124)</f>
        <v>-1196.4701822113639</v>
      </c>
      <c r="AG95">
        <f>PnL((($D$7*(1+AG$2))+($D$5-$D$6)),$E95,(RiskSlide!$A$7),($G95+AG$3),((RiskSlide!$A$12)/260),$C95,$B95,RiskSlide!$H124)</f>
        <v>-1497.988135353316</v>
      </c>
      <c r="AH95">
        <f>PnL((($D$7*(1+AH$2))+($D$5-$D$6)),$E95,(RiskSlide!$A$7),($G95+AH$3),((RiskSlide!$A$12)/260),$C95,$B95,RiskSlide!$H124)</f>
        <v>-1780.4729460863455</v>
      </c>
      <c r="AI95">
        <f>PnL((($D$7*(1+AI$2))+($D$5-$D$6)),$E95,(RiskSlide!$A$7),($G95+AI$3),((RiskSlide!$A$12)/260),$C95,$B95,RiskSlide!$H124)</f>
        <v>-2042.5486951900466</v>
      </c>
      <c r="AJ95">
        <f>PnL((($D$7*(1+AJ$2))+($D$5-$D$6)),$E95,(RiskSlide!$A$7),($G95+AJ$3),((RiskSlide!$A$12)/260),$C95,$B95,RiskSlide!$H124)</f>
        <v>-3270.1860541094907</v>
      </c>
      <c r="AK95">
        <f>PnL((($D$7*(1+AK$2))+($D$5-$D$6)),$E95,(RiskSlide!$A$7),($G95+AK$3),((RiskSlide!$A$12)/260),$C95,$B95,RiskSlide!$H124)</f>
        <v>-3358.9436103039702</v>
      </c>
      <c r="AL95">
        <f>PnL((($D$7*(1+AL$2))+($D$5-$D$6)),$E95,(RiskSlide!$A$7),($G95+AL$3),((RiskSlide!$A$12)/260),$C95,$B95,RiskSlide!$H124)</f>
        <v>8219.7072218891881</v>
      </c>
      <c r="AM95">
        <f>PnL((($D$7*(1+AM$2))+($D$5-$D$6)),$E95,(RiskSlide!$A$7),($G95+AM$3),((RiskSlide!$A$12)/260),$C95,$B95,RiskSlide!$H124)</f>
        <v>3295.0540765520968</v>
      </c>
      <c r="AN95">
        <f>PnL((($D$7*(1+AN$2))+($D$5-$D$6)),$E95,(RiskSlide!$A$7),($G95+AN$3),((RiskSlide!$A$12)/260),$C95,$B95,RiskSlide!$H124)</f>
        <v>-109.1617572250243</v>
      </c>
      <c r="AO95">
        <f>PnL((($D$7*(1+AO$2))+($D$5-$D$6)),$E95,(RiskSlide!$A$7),($G95+AO$3),((RiskSlide!$A$12)/260),$C95,$B95,RiskSlide!$H124)</f>
        <v>-480.51385529796562</v>
      </c>
      <c r="AP95">
        <f>PnL((($D$7*(1+AP$2))+($D$5-$D$6)),$E95,(RiskSlide!$A$7),($G95+AP$3),((RiskSlide!$A$12)/260),$C95,$B95,RiskSlide!$H124)</f>
        <v>-836.05190175108817</v>
      </c>
      <c r="AQ95">
        <f>PnL((($D$7*(1+AQ$2))+($D$5-$D$6)),$E95,(RiskSlide!$A$7),($G95+AQ$3),((RiskSlide!$A$12)/260),$C95,$B95,RiskSlide!$H124)</f>
        <v>-1174.3373990103862</v>
      </c>
      <c r="AR95">
        <f>PnL((($D$7*(1+AR$2))+($D$5-$D$6)),$E95,(RiskSlide!$A$7),($G95+AR$3),((RiskSlide!$A$12)/260),$C95,$B95,RiskSlide!$H124)</f>
        <v>-1493.8126537663634</v>
      </c>
      <c r="AS95">
        <f>PnL((($D$7*(1+AS$2))+($D$5-$D$6)),$E95,(RiskSlide!$A$7),($G95+AS$3),((RiskSlide!$A$12)/260),$C95,$B95,RiskSlide!$H124)</f>
        <v>-3169.0640502887672</v>
      </c>
      <c r="AT95">
        <f>PnL((($D$7*(1+AT$2))+($D$5-$D$6)),$E95,(RiskSlide!$A$7),($G95+AT$3),((RiskSlide!$A$12)/260),$C95,$B95,RiskSlide!$H124)</f>
        <v>-3358.9436103039702</v>
      </c>
      <c r="AU95">
        <f>PnL((($D$7*(1+AU$2))+($D$5-$D$6)),$E95,(RiskSlide!$A$7),($G95+AU$3),((RiskSlide!$A$12)/260),$C95,$B95,RiskSlide!$H124)</f>
        <v>9774.2690212411271</v>
      </c>
      <c r="AV95">
        <f>PnL((($D$7*(1+AV$2))+($D$5-$D$6)),$E95,(RiskSlide!$A$7),($G95+AV$3),((RiskSlide!$A$12)/260),$C95,$B95,RiskSlide!$H124)</f>
        <v>4571.9437592608447</v>
      </c>
      <c r="AW95">
        <f>PnL((($D$7*(1+AW$2))+($D$5-$D$6)),$E95,(RiskSlide!$A$7),($G95+AW$3),((RiskSlide!$A$12)/260),$C95,$B95,RiskSlide!$H124)</f>
        <v>833.01786699376805</v>
      </c>
      <c r="AX95">
        <f>PnL((($D$7*(1+AX$2))+($D$5-$D$6)),$E95,(RiskSlide!$A$7),($G95+AX$3),((RiskSlide!$A$12)/260),$C95,$B95,RiskSlide!$H124)</f>
        <v>409.87277521697365</v>
      </c>
      <c r="AY95">
        <f>PnL((($D$7*(1+AY$2))+($D$5-$D$6)),$E95,(RiskSlide!$A$7),($G95+AY$3),((RiskSlide!$A$12)/260),$C95,$B95,RiskSlide!$H124)</f>
        <v>0</v>
      </c>
      <c r="AZ95">
        <f>PnL((($D$7*(1+AZ$2))+($D$5-$D$6)),$E95,(RiskSlide!$A$7),($G95+AZ$3),((RiskSlide!$A$12)/260),$C95,$B95,RiskSlide!$H124)</f>
        <v>-395.21082702489139</v>
      </c>
      <c r="BA95">
        <f>PnL((($D$7*(1+BA$2))+($D$5-$D$6)),$E95,(RiskSlide!$A$7),($G95+BA$3),((RiskSlide!$A$12)/260),$C95,$B95,RiskSlide!$H124)</f>
        <v>-774.20494702516294</v>
      </c>
      <c r="BB95">
        <f>PnL((($D$7*(1+BB$2))+($D$5-$D$6)),$E95,(RiskSlide!$A$7),($G95+BB$3),((RiskSlide!$A$12)/260),$C95,$B95,RiskSlide!$H124)</f>
        <v>-2978.7755125886433</v>
      </c>
      <c r="BC95">
        <f>PnL((($D$7*(1+BC$2))+($D$5-$D$6)),$E95,(RiskSlide!$A$7),($G95+BC$3),((RiskSlide!$A$12)/260),$C95,$B95,RiskSlide!$H124)</f>
        <v>-3358.9436103039702</v>
      </c>
      <c r="BD95">
        <f>PnL((($D$7*(1+BD$2))+($D$5-$D$6)),$E95,(RiskSlide!$A$7),($G95+BD$3),((RiskSlide!$A$12)/260),$C95,$B95,RiskSlide!$H124)</f>
        <v>11468.654715749648</v>
      </c>
      <c r="BE95">
        <f>PnL((($D$7*(1+BE$2))+($D$5-$D$6)),$E95,(RiskSlide!$A$7),($G95+BE$3),((RiskSlide!$A$12)/260),$C95,$B95,RiskSlide!$H124)</f>
        <v>6018.4158254993008</v>
      </c>
      <c r="BF95">
        <f>PnL((($D$7*(1+BF$2))+($D$5-$D$6)),$E95,(RiskSlide!$A$7),($G95+BF$3),((RiskSlide!$A$12)/260),$C95,$B95,RiskSlide!$H124)</f>
        <v>1970.4738623618198</v>
      </c>
      <c r="BG95">
        <f>PnL((($D$7*(1+BG$2))+($D$5-$D$6)),$E95,(RiskSlide!$A$7),($G95+BG$3),((RiskSlide!$A$12)/260),$C95,$B95,RiskSlide!$H124)</f>
        <v>1498.0512337174587</v>
      </c>
      <c r="BH95">
        <f>PnL((($D$7*(1+BH$2))+($D$5-$D$6)),$E95,(RiskSlide!$A$7),($G95+BH$3),((RiskSlide!$A$12)/260),$C95,$B95,RiskSlide!$H124)</f>
        <v>1035.9416957153655</v>
      </c>
      <c r="BI95">
        <f>PnL((($D$7*(1+BI$2))+($D$5-$D$6)),$E95,(RiskSlide!$A$7),($G95+BI$3),((RiskSlide!$A$12)/260),$C95,$B95,RiskSlide!$H124)</f>
        <v>585.34576815092123</v>
      </c>
      <c r="BJ95">
        <f>PnL((($D$7*(1+BJ$2))+($D$5-$D$6)),$E95,(RiskSlide!$A$7),($G95+BJ$3),((RiskSlide!$A$12)/260),$C95,$B95,RiskSlide!$H124)</f>
        <v>147.63912194599698</v>
      </c>
      <c r="BK95">
        <f>PnL((($D$7*(1+BK$2))+($D$5-$D$6)),$E95,(RiskSlide!$A$7),($G95+BK$3),((RiskSlide!$A$12)/260),$C95,$B95,RiskSlide!$H124)</f>
        <v>-2644.6117767870887</v>
      </c>
      <c r="BL95">
        <f>PnL((($D$7*(1+BL$2))+($D$5-$D$6)),$E95,(RiskSlide!$A$7),($G95+BL$3),((RiskSlide!$A$12)/260),$C95,$B95,RiskSlide!$H124)</f>
        <v>-3358.9436103039702</v>
      </c>
      <c r="BM95">
        <f>PnL((($D$7*(1+BM$2))+($D$5-$D$6)),$E95,(RiskSlide!$A$7),($G95+BM$3),((RiskSlide!$A$12)/260),$C95,$B95,RiskSlide!$H124)</f>
        <v>13306.565967114073</v>
      </c>
      <c r="BN95">
        <f>PnL((($D$7*(1+BN$2))+($D$5-$D$6)),$E95,(RiskSlide!$A$7),($G95+BN$3),((RiskSlide!$A$12)/260),$C95,$B95,RiskSlide!$H124)</f>
        <v>7643.2396655178027</v>
      </c>
      <c r="BO95">
        <f>PnL((($D$7*(1+BO$2))+($D$5-$D$6)),$E95,(RiskSlide!$A$7),($G95+BO$3),((RiskSlide!$A$12)/260),$C95,$B95,RiskSlide!$H124)</f>
        <v>3322.7513962797675</v>
      </c>
      <c r="BP95">
        <f>PnL((($D$7*(1+BP$2))+($D$5-$D$6)),$E95,(RiskSlide!$A$7),($G95+BP$3),((RiskSlide!$A$12)/260),$C95,$B95,RiskSlide!$H124)</f>
        <v>2805.8124489352936</v>
      </c>
      <c r="BQ95">
        <f>PnL((($D$7*(1+BQ$2))+($D$5-$D$6)),$E95,(RiskSlide!$A$7),($G95+BQ$3),((RiskSlide!$A$12)/260),$C95,$B95,RiskSlide!$H124)</f>
        <v>2296.112865574753</v>
      </c>
      <c r="BR95">
        <f>PnL((($D$7*(1+BR$2))+($D$5-$D$6)),$E95,(RiskSlide!$A$7),($G95+BR$3),((RiskSlide!$A$12)/260),$C95,$B95,RiskSlide!$H124)</f>
        <v>1794.5652249430339</v>
      </c>
      <c r="BS95">
        <f>PnL((($D$7*(1+BS$2))+($D$5-$D$6)),$E95,(RiskSlide!$A$7),($G95+BS$3),((RiskSlide!$A$12)/260),$C95,$B95,RiskSlide!$H124)</f>
        <v>1302.2339312237791</v>
      </c>
      <c r="BT95">
        <f>PnL((($D$7*(1+BT$2))+($D$5-$D$6)),$E95,(RiskSlide!$A$7),($G95+BT$3),((RiskSlide!$A$12)/260),$C95,$B95,RiskSlide!$H124)</f>
        <v>-2095.564238040788</v>
      </c>
      <c r="BU95">
        <f>PnL((($D$7*(1+BU$2))+($D$5-$D$6)),$E95,(RiskSlide!$A$7),($G95+BU$3),((RiskSlide!$A$12)/260),$C95,$B95,RiskSlide!$H124)</f>
        <v>-3358.9436102969189</v>
      </c>
      <c r="BV95">
        <f>PnL((($D$7*(1+BV$2))+($D$5-$D$6)),$E95,(RiskSlide!$A$7),($G95+BV$3),((RiskSlide!$A$12)/260),$C95,$B95,RiskSlide!$H124)</f>
        <v>33340.113196452934</v>
      </c>
      <c r="BW95">
        <f>PnL((($D$7*(1+BW$2))+($D$5-$D$6)),$E95,(RiskSlide!$A$7),($G95+BW$3),((RiskSlide!$A$12)/260),$C95,$B95,RiskSlide!$H124)</f>
        <v>27538.69295516131</v>
      </c>
      <c r="BX95">
        <f>PnL((($D$7*(1+BX$2))+($D$5-$D$6)),$E95,(RiskSlide!$A$7),($G95+BX$3),((RiskSlide!$A$12)/260),$C95,$B95,RiskSlide!$H124)</f>
        <v>23097.574575896691</v>
      </c>
      <c r="BY95">
        <f>PnL((($D$7*(1+BY$2))+($D$5-$D$6)),$E95,(RiskSlide!$A$7),($G95+BY$3),((RiskSlide!$A$12)/260),$C95,$B95,RiskSlide!$H124)</f>
        <v>22564.506143024835</v>
      </c>
      <c r="BZ95">
        <f>PnL((($D$7*(1+BZ$2))+($D$5-$D$6)),$E95,(RiskSlide!$A$7),($G95+BZ$3),((RiskSlide!$A$12)/260),$C95,$B95,RiskSlide!$H124)</f>
        <v>22038.365038004871</v>
      </c>
      <c r="CA95">
        <f>PnL((($D$7*(1+CA$2))+($D$5-$D$6)),$E95,(RiskSlide!$A$7),($G95+CA$3),((RiskSlide!$A$12)/260),$C95,$B95,RiskSlide!$H124)</f>
        <v>21520.03316733152</v>
      </c>
      <c r="CB95">
        <f>PnL((($D$7*(1+CB$2))+($D$5-$D$6)),$E95,(RiskSlide!$A$7),($G95+CB$3),((RiskSlide!$A$12)/260),$C95,$B95,RiskSlide!$H124)</f>
        <v>21010.541404344633</v>
      </c>
      <c r="CC95">
        <f>PnL((($D$7*(1+CC$2))+($D$5-$D$6)),$E95,(RiskSlide!$A$7),($G95+CC$3),((RiskSlide!$A$12)/260),$C95,$B95,RiskSlide!$H124)</f>
        <v>17457.759702611907</v>
      </c>
      <c r="CD95">
        <f>PnL((($D$7*(1+CD$2))+($D$5-$D$6)),$E95,(RiskSlide!$A$7),($G95+CD$3),((RiskSlide!$A$12)/260),$C95,$B95,RiskSlide!$H124)</f>
        <v>16063.830789887505</v>
      </c>
      <c r="CE95">
        <f>PnL((($D$7*(1+CE$2))+($D$5-$D$6)),$E95,(RiskSlide!$A$7),($G95+CE$3),((RiskSlide!$A$12)/260),$C95,$B95,RiskSlide!$H124)</f>
        <v>70259.22055187021</v>
      </c>
      <c r="CF95">
        <f>PnL((($D$7*(1+CF$2))+($D$5-$D$6)),$E95,(RiskSlide!$A$7),($G95+CF$3),((RiskSlide!$A$12)/260),$C95,$B95,RiskSlide!$H124)</f>
        <v>67109.035540175435</v>
      </c>
      <c r="CG95">
        <f>PnL((($D$7*(1+CG$2))+($D$5-$D$6)),$E95,(RiskSlide!$A$7),($G95+CG$3),((RiskSlide!$A$12)/260),$C95,$B95,RiskSlide!$H124)</f>
        <v>65596.235193886518</v>
      </c>
      <c r="CH95">
        <f>PnL((($D$7*(1+CH$2))+($D$5-$D$6)),$E95,(RiskSlide!$A$7),($G95+CH$3),((RiskSlide!$A$12)/260),$C95,$B95,RiskSlide!$H124)</f>
        <v>65481.415145941413</v>
      </c>
      <c r="CI95">
        <f>PnL((($D$7*(1+CI$2))+($D$5-$D$6)),$E95,(RiskSlide!$A$7),($G95+CI$3),((RiskSlide!$A$12)/260),$C95,$B95,RiskSlide!$H124)</f>
        <v>65383.060447498472</v>
      </c>
      <c r="CJ95">
        <f>PnL((($D$7*(1+CJ$2))+($D$5-$D$6)),$E95,(RiskSlide!$A$7),($G95+CJ$3),((RiskSlide!$A$12)/260),$C95,$B95,RiskSlide!$H124)</f>
        <v>65300.650467686741</v>
      </c>
      <c r="CK95">
        <f>PnL((($D$7*(1+CK$2))+($D$5-$D$6)),$E95,(RiskSlide!$A$7),($G95+CK$3),((RiskSlide!$A$12)/260),$C95,$B95,RiskSlide!$H124)</f>
        <v>65233.40539961114</v>
      </c>
      <c r="CL95">
        <f>PnL((($D$7*(1+CL$2))+($D$5-$D$6)),$E95,(RiskSlide!$A$7),($G95+CL$3),((RiskSlide!$A$12)/260),$C95,$B95,RiskSlide!$H124)</f>
        <v>65065.667531345913</v>
      </c>
      <c r="CM95">
        <f>PnL((($D$7*(1+CM$2))+($D$5-$D$6)),$E95,(RiskSlide!$A$7),($G95+CM$3),((RiskSlide!$A$12)/260),$C95,$B95,RiskSlide!$H124)</f>
        <v>65064.980789849651</v>
      </c>
    </row>
    <row r="96" spans="1:91" x14ac:dyDescent="0.25">
      <c r="A96" t="s">
        <v>91</v>
      </c>
      <c r="B96">
        <v>-1</v>
      </c>
      <c r="C96">
        <v>1</v>
      </c>
      <c r="E96">
        <v>1835</v>
      </c>
      <c r="F96">
        <v>3.5000000000000001E-3</v>
      </c>
      <c r="G96">
        <v>0.10852299999999999</v>
      </c>
      <c r="K96">
        <f>PnL((($D$7*(1+K$2))+($D$5-$D$6)),$E96,(RiskSlide!$A$7),($G96+K$3),((RiskSlide!$A$12)/260),$C96,$B96,RiskSlide!$H125)</f>
        <v>225.94995016387128</v>
      </c>
      <c r="L96">
        <f>PnL((($D$7*(1+L$2))+($D$5-$D$6)),$E96,(RiskSlide!$A$7),($G96+L$3),((RiskSlide!$A$12)/260),$C96,$B96,RiskSlide!$H125)</f>
        <v>251.27101474459516</v>
      </c>
      <c r="M96">
        <f>PnL((($D$7*(1+M$2))+($D$5-$D$6)),$E96,(RiskSlide!$A$7),($G96+M$3),((RiskSlide!$A$12)/260),$C96,$B96,RiskSlide!$H125)</f>
        <v>253.68577163286497</v>
      </c>
      <c r="N96">
        <f>PnL((($D$7*(1+N$2))+($D$5-$D$6)),$E96,(RiskSlide!$A$7),($G96+N$3),((RiskSlide!$A$12)/260),$C96,$B96,RiskSlide!$H125)</f>
        <v>253.70964565894926</v>
      </c>
      <c r="O96">
        <f>PnL((($D$7*(1+O$2))+($D$5-$D$6)),$E96,(RiskSlide!$A$7),($G96+O$3),((RiskSlide!$A$12)/260),$C96,$B96,RiskSlide!$H125)</f>
        <v>253.7214514929147</v>
      </c>
      <c r="P96">
        <f>PnL((($D$7*(1+P$2))+($D$5-$D$6)),$E96,(RiskSlide!$A$7),($G96+P$3),((RiskSlide!$A$12)/260),$C96,$B96,RiskSlide!$H125)</f>
        <v>253.72672964072902</v>
      </c>
      <c r="Q96">
        <f>PnL((($D$7*(1+Q$2))+($D$5-$D$6)),$E96,(RiskSlide!$A$7),($G96+Q$3),((RiskSlide!$A$12)/260),$C96,$B96,RiskSlide!$H125)</f>
        <v>253.72882084415923</v>
      </c>
      <c r="R96">
        <f>PnL((($D$7*(1+R$2))+($D$5-$D$6)),$E96,(RiskSlide!$A$7),($G96+R$3),((RiskSlide!$A$12)/260),$C96,$B96,RiskSlide!$H125)</f>
        <v>253.72979877442319</v>
      </c>
      <c r="S96">
        <f>PnL((($D$7*(1+S$2))+($D$5-$D$6)),$E96,(RiskSlide!$A$7),($G96+S$3),((RiskSlide!$A$12)/260),$C96,$B96,RiskSlide!$H125)</f>
        <v>253.7297987744239</v>
      </c>
      <c r="T96">
        <f>PnL((($D$7*(1+T$2))+($D$5-$D$6)),$E96,(RiskSlide!$A$7),($G96+T$3),((RiskSlide!$A$12)/260),$C96,$B96,RiskSlide!$H125)</f>
        <v>14.148372141552557</v>
      </c>
      <c r="U96">
        <f>PnL((($D$7*(1+U$2))+($D$5-$D$6)),$E96,(RiskSlide!$A$7),($G96+U$3),((RiskSlide!$A$12)/260),$C96,$B96,RiskSlide!$H125)</f>
        <v>184.38476190841371</v>
      </c>
      <c r="V96">
        <f>PnL((($D$7*(1+V$2))+($D$5-$D$6)),$E96,(RiskSlide!$A$7),($G96+V$3),((RiskSlide!$A$12)/260),$C96,$B96,RiskSlide!$H125)</f>
        <v>243.23689352980864</v>
      </c>
      <c r="W96">
        <f>PnL((($D$7*(1+W$2))+($D$5-$D$6)),$E96,(RiskSlide!$A$7),($G96+W$3),((RiskSlide!$A$12)/260),$C96,$B96,RiskSlide!$H125)</f>
        <v>246.34715904654644</v>
      </c>
      <c r="X96">
        <f>PnL((($D$7*(1+X$2))+($D$5-$D$6)),$E96,(RiskSlide!$A$7),($G96+X$3),((RiskSlide!$A$12)/260),$C96,$B96,RiskSlide!$H125)</f>
        <v>248.74232975634243</v>
      </c>
      <c r="Y96">
        <f>PnL((($D$7*(1+Y$2))+($D$5-$D$6)),$E96,(RiskSlide!$A$7),($G96+Y$3),((RiskSlide!$A$12)/260),$C96,$B96,RiskSlide!$H125)</f>
        <v>250.51859765295617</v>
      </c>
      <c r="Z96">
        <f>PnL((($D$7*(1+Z$2))+($D$5-$D$6)),$E96,(RiskSlide!$A$7),($G96+Z$3),((RiskSlide!$A$12)/260),$C96,$B96,RiskSlide!$H125)</f>
        <v>251.77758259261353</v>
      </c>
      <c r="AA96">
        <f>PnL((($D$7*(1+AA$2))+($D$5-$D$6)),$E96,(RiskSlide!$A$7),($G96+AA$3),((RiskSlide!$A$12)/260),$C96,$B96,RiskSlide!$H125)</f>
        <v>253.72944940028202</v>
      </c>
      <c r="AB96">
        <f>PnL((($D$7*(1+AB$2))+($D$5-$D$6)),$E96,(RiskSlide!$A$7),($G96+AB$3),((RiskSlide!$A$12)/260),$C96,$B96,RiskSlide!$H125)</f>
        <v>253.7297987744239</v>
      </c>
      <c r="AC96">
        <f>PnL((($D$7*(1+AC$2))+($D$5-$D$6)),$E96,(RiskSlide!$A$7),($G96+AC$3),((RiskSlide!$A$12)/260),$C96,$B96,RiskSlide!$H125)</f>
        <v>-596.24334915047257</v>
      </c>
      <c r="AD96">
        <f>PnL((($D$7*(1+AD$2))+($D$5-$D$6)),$E96,(RiskSlide!$A$7),($G96+AD$3),((RiskSlide!$A$12)/260),$C96,$B96,RiskSlide!$H125)</f>
        <v>-192.08382220624003</v>
      </c>
      <c r="AE96">
        <f>PnL((($D$7*(1+AE$2))+($D$5-$D$6)),$E96,(RiskSlide!$A$7),($G96+AE$3),((RiskSlide!$A$12)/260),$C96,$B96,RiskSlide!$H125)</f>
        <v>66.5010541967618</v>
      </c>
      <c r="AF96">
        <f>PnL((($D$7*(1+AF$2))+($D$5-$D$6)),$E96,(RiskSlide!$A$7),($G96+AF$3),((RiskSlide!$A$12)/260),$C96,$B96,RiskSlide!$H125)</f>
        <v>92.661762663142611</v>
      </c>
      <c r="AG96">
        <f>PnL((($D$7*(1+AG$2))+($D$5-$D$6)),$E96,(RiskSlide!$A$7),($G96+AG$3),((RiskSlide!$A$12)/260),$C96,$B96,RiskSlide!$H125)</f>
        <v>117.11684368344777</v>
      </c>
      <c r="AH96">
        <f>PnL((($D$7*(1+AH$2))+($D$5-$D$6)),$E96,(RiskSlide!$A$7),($G96+AH$3),((RiskSlide!$A$12)/260),$C96,$B96,RiskSlide!$H125)</f>
        <v>139.75546551445177</v>
      </c>
      <c r="AI96">
        <f>PnL((($D$7*(1+AI$2))+($D$5-$D$6)),$E96,(RiskSlide!$A$7),($G96+AI$3),((RiskSlide!$A$12)/260),$C96,$B96,RiskSlide!$H125)</f>
        <v>160.46802247663265</v>
      </c>
      <c r="AJ96">
        <f>PnL((($D$7*(1+AJ$2))+($D$5-$D$6)),$E96,(RiskSlide!$A$7),($G96+AJ$3),((RiskSlide!$A$12)/260),$C96,$B96,RiskSlide!$H125)</f>
        <v>249.37112373230573</v>
      </c>
      <c r="AK96">
        <f>PnL((($D$7*(1+AK$2))+($D$5-$D$6)),$E96,(RiskSlide!$A$7),($G96+AK$3),((RiskSlide!$A$12)/260),$C96,$B96,RiskSlide!$H125)</f>
        <v>253.7297987744239</v>
      </c>
      <c r="AL96">
        <f>PnL((($D$7*(1+AL$2))+($D$5-$D$6)),$E96,(RiskSlide!$A$7),($G96+AL$3),((RiskSlide!$A$12)/260),$C96,$B96,RiskSlide!$H125)</f>
        <v>-718.19642448328125</v>
      </c>
      <c r="AM96">
        <f>PnL((($D$7*(1+AM$2))+($D$5-$D$6)),$E96,(RiskSlide!$A$7),($G96+AM$3),((RiskSlide!$A$12)/260),$C96,$B96,RiskSlide!$H125)</f>
        <v>-285.3523733109256</v>
      </c>
      <c r="AN96">
        <f>PnL((($D$7*(1+AN$2))+($D$5-$D$6)),$E96,(RiskSlide!$A$7),($G96+AN$3),((RiskSlide!$A$12)/260),$C96,$B96,RiskSlide!$H125)</f>
        <v>5.6082039447971965</v>
      </c>
      <c r="AO96">
        <f>PnL((($D$7*(1+AO$2))+($D$5-$D$6)),$E96,(RiskSlide!$A$7),($G96+AO$3),((RiskSlide!$A$12)/260),$C96,$B96,RiskSlide!$H125)</f>
        <v>36.486269360625556</v>
      </c>
      <c r="AP96">
        <f>PnL((($D$7*(1+AP$2))+($D$5-$D$6)),$E96,(RiskSlide!$A$7),($G96+AP$3),((RiskSlide!$A$12)/260),$C96,$B96,RiskSlide!$H125)</f>
        <v>65.788258808365185</v>
      </c>
      <c r="AQ96">
        <f>PnL((($D$7*(1+AQ$2))+($D$5-$D$6)),$E96,(RiskSlide!$A$7),($G96+AQ$3),((RiskSlide!$A$12)/260),$C96,$B96,RiskSlide!$H125)</f>
        <v>93.384456130411309</v>
      </c>
      <c r="AR96">
        <f>PnL((($D$7*(1+AR$2))+($D$5-$D$6)),$E96,(RiskSlide!$A$7),($G96+AR$3),((RiskSlide!$A$12)/260),$C96,$B96,RiskSlide!$H125)</f>
        <v>119.13811125759537</v>
      </c>
      <c r="AS96">
        <f>PnL((($D$7*(1+AS$2))+($D$5-$D$6)),$E96,(RiskSlide!$A$7),($G96+AS$3),((RiskSlide!$A$12)/260),$C96,$B96,RiskSlide!$H125)</f>
        <v>243.78391907412436</v>
      </c>
      <c r="AT96">
        <f>PnL((($D$7*(1+AT$2))+($D$5-$D$6)),$E96,(RiskSlide!$A$7),($G96+AT$3),((RiskSlide!$A$12)/260),$C96,$B96,RiskSlide!$H125)</f>
        <v>253.7297987744239</v>
      </c>
      <c r="AU96">
        <f>PnL((($D$7*(1+AU$2))+($D$5-$D$6)),$E96,(RiskSlide!$A$7),($G96+AU$3),((RiskSlide!$A$12)/260),$C96,$B96,RiskSlide!$H125)</f>
        <v>-852.22545945191541</v>
      </c>
      <c r="AV96">
        <f>PnL((($D$7*(1+AV$2))+($D$5-$D$6)),$E96,(RiskSlide!$A$7),($G96+AV$3),((RiskSlide!$A$12)/260),$C96,$B96,RiskSlide!$H125)</f>
        <v>-392.59091402107629</v>
      </c>
      <c r="AW96">
        <f>PnL((($D$7*(1+AW$2))+($D$5-$D$6)),$E96,(RiskSlide!$A$7),($G96+AW$3),((RiskSlide!$A$12)/260),$C96,$B96,RiskSlide!$H125)</f>
        <v>-69.985064355265081</v>
      </c>
      <c r="AX96">
        <f>PnL((($D$7*(1+AX$2))+($D$5-$D$6)),$E96,(RiskSlide!$A$7),($G96+AX$3),((RiskSlide!$A$12)/260),$C96,$B96,RiskSlide!$H125)</f>
        <v>-34.3048117332728</v>
      </c>
      <c r="AY96">
        <f>PnL((($D$7*(1+AY$2))+($D$5-$D$6)),$E96,(RiskSlide!$A$7),($G96+AY$3),((RiskSlide!$A$12)/260),$C96,$B96,RiskSlide!$H125)</f>
        <v>0</v>
      </c>
      <c r="AZ96">
        <f>PnL((($D$7*(1+AZ$2))+($D$5-$D$6)),$E96,(RiskSlide!$A$7),($G96+AZ$3),((RiskSlide!$A$12)/260),$C96,$B96,RiskSlide!$H125)</f>
        <v>32.795101906981472</v>
      </c>
      <c r="BA96">
        <f>PnL((($D$7*(1+BA$2))+($D$5-$D$6)),$E96,(RiskSlide!$A$7),($G96+BA$3),((RiskSlide!$A$12)/260),$C96,$B96,RiskSlide!$H125)</f>
        <v>63.932938048861843</v>
      </c>
      <c r="BB96">
        <f>PnL((($D$7*(1+BB$2))+($D$5-$D$6)),$E96,(RiskSlide!$A$7),($G96+BB$3),((RiskSlide!$A$12)/260),$C96,$B96,RiskSlide!$H125)</f>
        <v>232.5826413728368</v>
      </c>
      <c r="BC96">
        <f>PnL((($D$7*(1+BC$2))+($D$5-$D$6)),$E96,(RiskSlide!$A$7),($G96+BC$3),((RiskSlide!$A$12)/260),$C96,$B96,RiskSlide!$H125)</f>
        <v>253.7297987744239</v>
      </c>
      <c r="BD96">
        <f>PnL((($D$7*(1+BD$2))+($D$5-$D$6)),$E96,(RiskSlide!$A$7),($G96+BD$3),((RiskSlide!$A$12)/260),$C96,$B96,RiskSlide!$H125)</f>
        <v>-998.77797812173412</v>
      </c>
      <c r="BE96">
        <f>PnL((($D$7*(1+BE$2))+($D$5-$D$6)),$E96,(RiskSlide!$A$7),($G96+BE$3),((RiskSlide!$A$12)/260),$C96,$B96,RiskSlide!$H125)</f>
        <v>-514.7886404851107</v>
      </c>
      <c r="BF96">
        <f>PnL((($D$7*(1+BF$2))+($D$5-$D$6)),$E96,(RiskSlide!$A$7),($G96+BF$3),((RiskSlide!$A$12)/260),$C96,$B96,RiskSlide!$H125)</f>
        <v>-162.28839500400341</v>
      </c>
      <c r="BG96">
        <f>PnL((($D$7*(1+BG$2))+($D$5-$D$6)),$E96,(RiskSlide!$A$7),($G96+BG$3),((RiskSlide!$A$12)/260),$C96,$B96,RiskSlide!$H125)</f>
        <v>-121.91295632081562</v>
      </c>
      <c r="BH96">
        <f>PnL((($D$7*(1+BH$2))+($D$5-$D$6)),$E96,(RiskSlide!$A$7),($G96+BH$3),((RiskSlide!$A$12)/260),$C96,$B96,RiskSlide!$H125)</f>
        <v>-82.658497758060889</v>
      </c>
      <c r="BI96">
        <f>PnL((($D$7*(1+BI$2))+($D$5-$D$6)),$E96,(RiskSlide!$A$7),($G96+BI$3),((RiskSlide!$A$12)/260),$C96,$B96,RiskSlide!$H125)</f>
        <v>-44.649300440025286</v>
      </c>
      <c r="BJ96">
        <f>PnL((($D$7*(1+BJ$2))+($D$5-$D$6)),$E96,(RiskSlide!$A$7),($G96+BJ$3),((RiskSlide!$A$12)/260),$C96,$B96,RiskSlide!$H125)</f>
        <v>-8.0260360843567469</v>
      </c>
      <c r="BK96">
        <f>PnL((($D$7*(1+BK$2))+($D$5-$D$6)),$E96,(RiskSlide!$A$7),($G96+BK$3),((RiskSlide!$A$12)/260),$C96,$B96,RiskSlide!$H125)</f>
        <v>211.71632679950108</v>
      </c>
      <c r="BL96">
        <f>PnL((($D$7*(1+BL$2))+($D$5-$D$6)),$E96,(RiskSlide!$A$7),($G96+BL$3),((RiskSlide!$A$12)/260),$C96,$B96,RiskSlide!$H125)</f>
        <v>253.7297987744239</v>
      </c>
      <c r="BM96">
        <f>PnL((($D$7*(1+BM$2))+($D$5-$D$6)),$E96,(RiskSlide!$A$7),($G96+BM$3),((RiskSlide!$A$12)/260),$C96,$B96,RiskSlide!$H125)</f>
        <v>-1158.2348238411271</v>
      </c>
      <c r="BN96">
        <f>PnL((($D$7*(1+BN$2))+($D$5-$D$6)),$E96,(RiskSlide!$A$7),($G96+BN$3),((RiskSlide!$A$12)/260),$C96,$B96,RiskSlide!$H125)</f>
        <v>-652.82722758472005</v>
      </c>
      <c r="BO96">
        <f>PnL((($D$7*(1+BO$2))+($D$5-$D$6)),$E96,(RiskSlide!$A$7),($G96+BO$3),((RiskSlide!$A$12)/260),$C96,$B96,RiskSlide!$H125)</f>
        <v>-273.21120128485177</v>
      </c>
      <c r="BP96">
        <f>PnL((($D$7*(1+BP$2))+($D$5-$D$6)),$E96,(RiskSlide!$A$7),($G96+BP$3),((RiskSlide!$A$12)/260),$C96,$B96,RiskSlide!$H125)</f>
        <v>-228.45530712246784</v>
      </c>
      <c r="BQ96">
        <f>PnL((($D$7*(1+BQ$2))+($D$5-$D$6)),$E96,(RiskSlide!$A$7),($G96+BQ$3),((RiskSlide!$A$12)/260),$C96,$B96,RiskSlide!$H125)</f>
        <v>-184.5372766870895</v>
      </c>
      <c r="BR96">
        <f>PnL((($D$7*(1+BR$2))+($D$5-$D$6)),$E96,(RiskSlide!$A$7),($G96+BR$3),((RiskSlide!$A$12)/260),$C96,$B96,RiskSlide!$H125)</f>
        <v>-141.55933871012394</v>
      </c>
      <c r="BS96">
        <f>PnL((($D$7*(1+BS$2))+($D$5-$D$6)),$E96,(RiskSlide!$A$7),($G96+BS$3),((RiskSlide!$A$12)/260),$C96,$B96,RiskSlide!$H125)</f>
        <v>-99.639745831453297</v>
      </c>
      <c r="BT96">
        <f>PnL((($D$7*(1+BT$2))+($D$5-$D$6)),$E96,(RiskSlide!$A$7),($G96+BT$3),((RiskSlide!$A$12)/260),$C96,$B96,RiskSlide!$H125)</f>
        <v>175.50541829423452</v>
      </c>
      <c r="BU96">
        <f>PnL((($D$7*(1+BU$2))+($D$5-$D$6)),$E96,(RiskSlide!$A$7),($G96+BU$3),((RiskSlide!$A$12)/260),$C96,$B96,RiskSlide!$H125)</f>
        <v>253.7297987744239</v>
      </c>
      <c r="BV96">
        <f>PnL((($D$7*(1+BV$2))+($D$5-$D$6)),$E96,(RiskSlide!$A$7),($G96+BV$3),((RiskSlide!$A$12)/260),$C96,$B96,RiskSlide!$H125)</f>
        <v>-2918.8705829240289</v>
      </c>
      <c r="BW96">
        <f>PnL((($D$7*(1+BW$2))+($D$5-$D$6)),$E96,(RiskSlide!$A$7),($G96+BW$3),((RiskSlide!$A$12)/260),$C96,$B96,RiskSlide!$H125)</f>
        <v>-2382.7719469977919</v>
      </c>
      <c r="BX96">
        <f>PnL((($D$7*(1+BX$2))+($D$5-$D$6)),$E96,(RiskSlide!$A$7),($G96+BX$3),((RiskSlide!$A$12)/260),$C96,$B96,RiskSlide!$H125)</f>
        <v>-1967.8988072142317</v>
      </c>
      <c r="BY96">
        <f>PnL((($D$7*(1+BY$2))+($D$5-$D$6)),$E96,(RiskSlide!$A$7),($G96+BY$3),((RiskSlide!$A$12)/260),$C96,$B96,RiskSlide!$H125)</f>
        <v>-1917.6083791263238</v>
      </c>
      <c r="BZ96">
        <f>PnL((($D$7*(1+BZ$2))+($D$5-$D$6)),$E96,(RiskSlide!$A$7),($G96+BZ$3),((RiskSlide!$A$12)/260),$C96,$B96,RiskSlide!$H125)</f>
        <v>-1867.8159721033751</v>
      </c>
      <c r="CA96">
        <f>PnL((($D$7*(1+CA$2))+($D$5-$D$6)),$E96,(RiskSlide!$A$7),($G96+CA$3),((RiskSlide!$A$12)/260),$C96,$B96,RiskSlide!$H125)</f>
        <v>-1818.5878040532259</v>
      </c>
      <c r="CB96">
        <f>PnL((($D$7*(1+CB$2))+($D$5-$D$6)),$E96,(RiskSlide!$A$7),($G96+CB$3),((RiskSlide!$A$12)/260),$C96,$B96,RiskSlide!$H125)</f>
        <v>-1770.0019591834746</v>
      </c>
      <c r="CC96">
        <f>PnL((($D$7*(1+CC$2))+($D$5-$D$6)),$E96,(RiskSlide!$A$7),($G96+CC$3),((RiskSlide!$A$12)/260),$C96,$B96,RiskSlide!$H125)</f>
        <v>-1420.6781529268085</v>
      </c>
      <c r="CD96">
        <f>PnL((($D$7*(1+CD$2))+($D$5-$D$6)),$E96,(RiskSlide!$A$7),($G96+CD$3),((RiskSlide!$A$12)/260),$C96,$B96,RiskSlide!$H125)</f>
        <v>-1262.0577210651788</v>
      </c>
      <c r="CE96">
        <f>PnL((($D$7*(1+CE$2))+($D$5-$D$6)),$E96,(RiskSlide!$A$7),($G96+CE$3),((RiskSlide!$A$12)/260),$C96,$B96,RiskSlide!$H125)</f>
        <v>-6220.5721373465221</v>
      </c>
      <c r="CF96">
        <f>PnL((($D$7*(1+CF$2))+($D$5-$D$6)),$E96,(RiskSlide!$A$7),($G96+CF$3),((RiskSlide!$A$12)/260),$C96,$B96,RiskSlide!$H125)</f>
        <v>-5920.1273773441981</v>
      </c>
      <c r="CG96">
        <f>PnL((($D$7*(1+CG$2))+($D$5-$D$6)),$E96,(RiskSlide!$A$7),($G96+CG$3),((RiskSlide!$A$12)/260),$C96,$B96,RiskSlide!$H125)</f>
        <v>-5771.6585737936557</v>
      </c>
      <c r="CH96">
        <f>PnL((($D$7*(1+CH$2))+($D$5-$D$6)),$E96,(RiskSlide!$A$7),($G96+CH$3),((RiskSlide!$A$12)/260),$C96,$B96,RiskSlide!$H125)</f>
        <v>-5760.0808014835766</v>
      </c>
      <c r="CI96">
        <f>PnL((($D$7*(1+CI$2))+($D$5-$D$6)),$E96,(RiskSlide!$A$7),($G96+CI$3),((RiskSlide!$A$12)/260),$C96,$B96,RiskSlide!$H125)</f>
        <v>-5750.0885229295645</v>
      </c>
      <c r="CJ96">
        <f>PnL((($D$7*(1+CJ$2))+($D$5-$D$6)),$E96,(RiskSlide!$A$7),($G96+CJ$3),((RiskSlide!$A$12)/260),$C96,$B96,RiskSlide!$H125)</f>
        <v>-5741.6462580022826</v>
      </c>
      <c r="CK96">
        <f>PnL((($D$7*(1+CK$2))+($D$5-$D$6)),$E96,(RiskSlide!$A$7),($G96+CK$3),((RiskSlide!$A$12)/260),$C96,$B96,RiskSlide!$H125)</f>
        <v>-5734.6937566267625</v>
      </c>
      <c r="CL96">
        <f>PnL((($D$7*(1+CL$2))+($D$5-$D$6)),$E96,(RiskSlide!$A$7),($G96+CL$3),((RiskSlide!$A$12)/260),$C96,$B96,RiskSlide!$H125)</f>
        <v>-5716.7893672343153</v>
      </c>
      <c r="CM96">
        <f>PnL((($D$7*(1+CM$2))+($D$5-$D$6)),$E96,(RiskSlide!$A$7),($G96+CM$3),((RiskSlide!$A$12)/260),$C96,$B96,RiskSlide!$H125)</f>
        <v>-5716.7077210607486</v>
      </c>
    </row>
    <row r="97" spans="1:91" x14ac:dyDescent="0.25">
      <c r="A97" t="s">
        <v>92</v>
      </c>
      <c r="B97">
        <v>5</v>
      </c>
      <c r="C97">
        <v>1</v>
      </c>
      <c r="E97">
        <v>1850</v>
      </c>
      <c r="F97">
        <v>3.5000000000000001E-3</v>
      </c>
      <c r="G97">
        <v>0.10538400000000001</v>
      </c>
      <c r="K97">
        <f>PnL((($D$7*(1+K$2))+($D$5-$D$6)),$E97,(RiskSlide!$A$7),($G97+K$3),((RiskSlide!$A$12)/260),$C97,$B97,RiskSlide!$H126)</f>
        <v>-616.11510111746884</v>
      </c>
      <c r="L97">
        <f>PnL((($D$7*(1+L$2))+($D$5-$D$6)),$E97,(RiskSlide!$A$7),($G97+L$3),((RiskSlide!$A$12)/260),$C97,$B97,RiskSlide!$H126)</f>
        <v>-696.16218898410739</v>
      </c>
      <c r="M97">
        <f>PnL((($D$7*(1+M$2))+($D$5-$D$6)),$E97,(RiskSlide!$A$7),($G97+M$3),((RiskSlide!$A$12)/260),$C97,$B97,RiskSlide!$H126)</f>
        <v>-701.4886195301309</v>
      </c>
      <c r="N97">
        <f>PnL((($D$7*(1+N$2))+($D$5-$D$6)),$E97,(RiskSlide!$A$7),($G97+N$3),((RiskSlide!$A$12)/260),$C97,$B97,RiskSlide!$H126)</f>
        <v>-701.51783089277387</v>
      </c>
      <c r="O97">
        <f>PnL((($D$7*(1+O$2))+($D$5-$D$6)),$E97,(RiskSlide!$A$7),($G97+O$3),((RiskSlide!$A$12)/260),$C97,$B97,RiskSlide!$H126)</f>
        <v>-701.53022590091689</v>
      </c>
      <c r="P97">
        <f>PnL((($D$7*(1+P$2))+($D$5-$D$6)),$E97,(RiskSlide!$A$7),($G97+P$3),((RiskSlide!$A$12)/260),$C97,$B97,RiskSlide!$H126)</f>
        <v>-701.5348617988119</v>
      </c>
      <c r="Q97">
        <f>PnL((($D$7*(1+Q$2))+($D$5-$D$6)),$E97,(RiskSlide!$A$7),($G97+Q$3),((RiskSlide!$A$12)/260),$C97,$B97,RiskSlide!$H126)</f>
        <v>-701.53635132078</v>
      </c>
      <c r="R97">
        <f>PnL((($D$7*(1+R$2))+($D$5-$D$6)),$E97,(RiskSlide!$A$7),($G97+R$3),((RiskSlide!$A$12)/260),$C97,$B97,RiskSlide!$H126)</f>
        <v>-701.53684951708328</v>
      </c>
      <c r="S97">
        <f>PnL((($D$7*(1+S$2))+($D$5-$D$6)),$E97,(RiskSlide!$A$7),($G97+S$3),((RiskSlide!$A$12)/260),$C97,$B97,RiskSlide!$H126)</f>
        <v>-701.53684951708328</v>
      </c>
      <c r="T97">
        <f>PnL((($D$7*(1+T$2))+($D$5-$D$6)),$E97,(RiskSlide!$A$7),($G97+T$3),((RiskSlide!$A$12)/260),$C97,$B97,RiskSlide!$H126)</f>
        <v>148.26513829102339</v>
      </c>
      <c r="U97">
        <f>PnL((($D$7*(1+U$2))+($D$5-$D$6)),$E97,(RiskSlide!$A$7),($G97+U$3),((RiskSlide!$A$12)/260),$C97,$B97,RiskSlide!$H126)</f>
        <v>-500.87373276166682</v>
      </c>
      <c r="V97">
        <f>PnL((($D$7*(1+V$2))+($D$5-$D$6)),$E97,(RiskSlide!$A$7),($G97+V$3),((RiskSlide!$A$12)/260),$C97,$B97,RiskSlide!$H126)</f>
        <v>-680.9300401021319</v>
      </c>
      <c r="W97">
        <f>PnL((($D$7*(1+W$2))+($D$5-$D$6)),$E97,(RiskSlide!$A$7),($G97+W$3),((RiskSlide!$A$12)/260),$C97,$B97,RiskSlide!$H126)</f>
        <v>-688.16848715342553</v>
      </c>
      <c r="X97">
        <f>PnL((($D$7*(1+X$2))+($D$5-$D$6)),$E97,(RiskSlide!$A$7),($G97+X$3),((RiskSlide!$A$12)/260),$C97,$B97,RiskSlide!$H126)</f>
        <v>-693.31233079757794</v>
      </c>
      <c r="Y97">
        <f>PnL((($D$7*(1+Y$2))+($D$5-$D$6)),$E97,(RiskSlide!$A$7),($G97+Y$3),((RiskSlide!$A$12)/260),$C97,$B97,RiskSlide!$H126)</f>
        <v>-696.78685355720904</v>
      </c>
      <c r="Z97">
        <f>PnL((($D$7*(1+Z$2))+($D$5-$D$6)),$E97,(RiskSlide!$A$7),($G97+Z$3),((RiskSlide!$A$12)/260),$C97,$B97,RiskSlide!$H126)</f>
        <v>-698.99436432046889</v>
      </c>
      <c r="AA97">
        <f>PnL((($D$7*(1+AA$2))+($D$5-$D$6)),$E97,(RiskSlide!$A$7),($G97+AA$3),((RiskSlide!$A$12)/260),$C97,$B97,RiskSlide!$H126)</f>
        <v>-701.53682210233444</v>
      </c>
      <c r="AB97">
        <f>PnL((($D$7*(1+AB$2))+($D$5-$D$6)),$E97,(RiskSlide!$A$7),($G97+AB$3),((RiskSlide!$A$12)/260),$C97,$B97,RiskSlide!$H126)</f>
        <v>-701.53684951708328</v>
      </c>
      <c r="AC97">
        <f>PnL((($D$7*(1+AC$2))+($D$5-$D$6)),$E97,(RiskSlide!$A$7),($G97+AC$3),((RiskSlide!$A$12)/260),$C97,$B97,RiskSlide!$H126)</f>
        <v>2596.043653326305</v>
      </c>
      <c r="AD97">
        <f>PnL((($D$7*(1+AD$2))+($D$5-$D$6)),$E97,(RiskSlide!$A$7),($G97+AD$3),((RiskSlide!$A$12)/260),$C97,$B97,RiskSlide!$H126)</f>
        <v>829.27428294954802</v>
      </c>
      <c r="AE97">
        <f>PnL((($D$7*(1+AE$2))+($D$5-$D$6)),$E97,(RiskSlide!$A$7),($G97+AE$3),((RiskSlide!$A$12)/260),$C97,$B97,RiskSlide!$H126)</f>
        <v>-181.8132783262385</v>
      </c>
      <c r="AF97">
        <f>PnL((($D$7*(1+AF$2))+($D$5-$D$6)),$E97,(RiskSlide!$A$7),($G97+AF$3),((RiskSlide!$A$12)/260),$C97,$B97,RiskSlide!$H126)</f>
        <v>-273.02203371572631</v>
      </c>
      <c r="AG97">
        <f>PnL((($D$7*(1+AG$2))+($D$5-$D$6)),$E97,(RiskSlide!$A$7),($G97+AG$3),((RiskSlide!$A$12)/260),$C97,$B97,RiskSlide!$H126)</f>
        <v>-355.2233532163882</v>
      </c>
      <c r="AH97">
        <f>PnL((($D$7*(1+AH$2))+($D$5-$D$6)),$E97,(RiskSlide!$A$7),($G97+AH$3),((RiskSlide!$A$12)/260),$C97,$B97,RiskSlide!$H126)</f>
        <v>-428.16654202313839</v>
      </c>
      <c r="AI97">
        <f>PnL((($D$7*(1+AI$2))+($D$5-$D$6)),$E97,(RiskSlide!$A$7),($G97+AI$3),((RiskSlide!$A$12)/260),$C97,$B97,RiskSlide!$H126)</f>
        <v>-491.69191063115034</v>
      </c>
      <c r="AJ97">
        <f>PnL((($D$7*(1+AJ$2))+($D$5-$D$6)),$E97,(RiskSlide!$A$7),($G97+AJ$3),((RiskSlide!$A$12)/260),$C97,$B97,RiskSlide!$H126)</f>
        <v>-698.82279044355812</v>
      </c>
      <c r="AK97">
        <f>PnL((($D$7*(1+AK$2))+($D$5-$D$6)),$E97,(RiskSlide!$A$7),($G97+AK$3),((RiskSlide!$A$12)/260),$C97,$B97,RiskSlide!$H126)</f>
        <v>-701.53684951708328</v>
      </c>
      <c r="AL97">
        <f>PnL((($D$7*(1+AL$2))+($D$5-$D$6)),$E97,(RiskSlide!$A$7),($G97+AL$3),((RiskSlide!$A$12)/260),$C97,$B97,RiskSlide!$H126)</f>
        <v>3106.169556085476</v>
      </c>
      <c r="AM97">
        <f>PnL((($D$7*(1+AM$2))+($D$5-$D$6)),$E97,(RiskSlide!$A$7),($G97+AM$3),((RiskSlide!$A$12)/260),$C97,$B97,RiskSlide!$H126)</f>
        <v>1183.5971314335723</v>
      </c>
      <c r="AN97">
        <f>PnL((($D$7*(1+AN$2))+($D$5-$D$6)),$E97,(RiskSlide!$A$7),($G97+AN$3),((RiskSlide!$A$12)/260),$C97,$B97,RiskSlide!$H126)</f>
        <v>12.469110893917446</v>
      </c>
      <c r="AO97">
        <f>PnL((($D$7*(1+AO$2))+($D$5-$D$6)),$E97,(RiskSlide!$A$7),($G97+AO$3),((RiskSlide!$A$12)/260),$C97,$B97,RiskSlide!$H126)</f>
        <v>-100.04646076043144</v>
      </c>
      <c r="AP97">
        <f>PnL((($D$7*(1+AP$2))+($D$5-$D$6)),$E97,(RiskSlide!$A$7),($G97+AP$3),((RiskSlide!$A$12)/260),$C97,$B97,RiskSlide!$H126)</f>
        <v>-203.46294873181137</v>
      </c>
      <c r="AQ97">
        <f>PnL((($D$7*(1+AQ$2))+($D$5-$D$6)),$E97,(RiskSlide!$A$7),($G97+AQ$3),((RiskSlide!$A$12)/260),$C97,$B97,RiskSlide!$H126)</f>
        <v>-297.32751703363647</v>
      </c>
      <c r="AR97">
        <f>PnL((($D$7*(1+AR$2))+($D$5-$D$6)),$E97,(RiskSlide!$A$7),($G97+AR$3),((RiskSlide!$A$12)/260),$C97,$B97,RiskSlide!$H126)</f>
        <v>-381.23599945079081</v>
      </c>
      <c r="AS97">
        <f>PnL((($D$7*(1+AS$2))+($D$5-$D$6)),$E97,(RiskSlide!$A$7),($G97+AS$3),((RiskSlide!$A$12)/260),$C97,$B97,RiskSlide!$H126)</f>
        <v>-693.9409194667046</v>
      </c>
      <c r="AT97">
        <f>PnL((($D$7*(1+AT$2))+($D$5-$D$6)),$E97,(RiskSlide!$A$7),($G97+AT$3),((RiskSlide!$A$12)/260),$C97,$B97,RiskSlide!$H126)</f>
        <v>-701.53684951708328</v>
      </c>
      <c r="AU97">
        <f>PnL((($D$7*(1+AU$2))+($D$5-$D$6)),$E97,(RiskSlide!$A$7),($G97+AU$3),((RiskSlide!$A$12)/260),$C97,$B97,RiskSlide!$H126)</f>
        <v>3672.4123601793081</v>
      </c>
      <c r="AV97">
        <f>PnL((($D$7*(1+AV$2))+($D$5-$D$6)),$E97,(RiskSlide!$A$7),($G97+AV$3),((RiskSlide!$A$12)/260),$C97,$B97,RiskSlide!$H126)</f>
        <v>1598.6267210310389</v>
      </c>
      <c r="AW97">
        <f>PnL((($D$7*(1+AW$2))+($D$5-$D$6)),$E97,(RiskSlide!$A$7),($G97+AW$3),((RiskSlide!$A$12)/260),$C97,$B97,RiskSlide!$H126)</f>
        <v>262.62792348860131</v>
      </c>
      <c r="AX97">
        <f>PnL((($D$7*(1+AX$2))+($D$5-$D$6)),$E97,(RiskSlide!$A$7),($G97+AX$3),((RiskSlide!$A$12)/260),$C97,$B97,RiskSlide!$H126)</f>
        <v>126.92909219884996</v>
      </c>
      <c r="AY97">
        <f>PnL((($D$7*(1+AY$2))+($D$5-$D$6)),$E97,(RiskSlide!$A$7),($G97+AY$3),((RiskSlide!$A$12)/260),$C97,$B97,RiskSlide!$H126)</f>
        <v>0</v>
      </c>
      <c r="AZ97">
        <f>PnL((($D$7*(1+AZ$2))+($D$5-$D$6)),$E97,(RiskSlide!$A$7),($G97+AZ$3),((RiskSlide!$A$12)/260),$C97,$B97,RiskSlide!$H126)</f>
        <v>-117.54786447964705</v>
      </c>
      <c r="BA97">
        <f>PnL((($D$7*(1+BA$2))+($D$5-$D$6)),$E97,(RiskSlide!$A$7),($G97+BA$3),((RiskSlide!$A$12)/260),$C97,$B97,RiskSlide!$H126)</f>
        <v>-225.10291185642473</v>
      </c>
      <c r="BB97">
        <f>PnL((($D$7*(1+BB$2))+($D$5-$D$6)),$E97,(RiskSlide!$A$7),($G97+BB$3),((RiskSlide!$A$12)/260),$C97,$B97,RiskSlide!$H126)</f>
        <v>-681.96687254155336</v>
      </c>
      <c r="BC97">
        <f>PnL((($D$7*(1+BC$2))+($D$5-$D$6)),$E97,(RiskSlide!$A$7),($G97+BC$3),((RiskSlide!$A$12)/260),$C97,$B97,RiskSlide!$H126)</f>
        <v>-701.53684951708328</v>
      </c>
      <c r="BD97">
        <f>PnL((($D$7*(1+BD$2))+($D$5-$D$6)),$E97,(RiskSlide!$A$7),($G97+BD$3),((RiskSlide!$A$12)/260),$C97,$B97,RiskSlide!$H126)</f>
        <v>4297.54583531151</v>
      </c>
      <c r="BE97">
        <f>PnL((($D$7*(1+BE$2))+($D$5-$D$6)),$E97,(RiskSlide!$A$7),($G97+BE$3),((RiskSlide!$A$12)/260),$C97,$B97,RiskSlide!$H126)</f>
        <v>2080.0698082019694</v>
      </c>
      <c r="BF97">
        <f>PnL((($D$7*(1+BF$2))+($D$5-$D$6)),$E97,(RiskSlide!$A$7),($G97+BF$3),((RiskSlide!$A$12)/260),$C97,$B97,RiskSlide!$H126)</f>
        <v>578.93736016333719</v>
      </c>
      <c r="BG97">
        <f>PnL((($D$7*(1+BG$2))+($D$5-$D$6)),$E97,(RiskSlide!$A$7),($G97+BG$3),((RiskSlide!$A$12)/260),$C97,$B97,RiskSlide!$H126)</f>
        <v>418.88262697722212</v>
      </c>
      <c r="BH97">
        <f>PnL((($D$7*(1+BH$2))+($D$5-$D$6)),$E97,(RiskSlide!$A$7),($G97+BH$3),((RiskSlide!$A$12)/260),$C97,$B97,RiskSlide!$H126)</f>
        <v>266.84637187829452</v>
      </c>
      <c r="BI97">
        <f>PnL((($D$7*(1+BI$2))+($D$5-$D$6)),$E97,(RiskSlide!$A$7),($G97+BI$3),((RiskSlide!$A$12)/260),$C97,$B97,RiskSlide!$H126)</f>
        <v>123.53112582328407</v>
      </c>
      <c r="BJ97">
        <f>PnL((($D$7*(1+BJ$2))+($D$5-$D$6)),$E97,(RiskSlide!$A$7),($G97+BJ$3),((RiskSlide!$A$12)/260),$C97,$B97,RiskSlide!$H126)</f>
        <v>-10.315242382496592</v>
      </c>
      <c r="BK97">
        <f>PnL((($D$7*(1+BK$2))+($D$5-$D$6)),$E97,(RiskSlide!$A$7),($G97+BK$3),((RiskSlide!$A$12)/260),$C97,$B97,RiskSlide!$H126)</f>
        <v>-654.99571632239827</v>
      </c>
      <c r="BL97">
        <f>PnL((($D$7*(1+BL$2))+($D$5-$D$6)),$E97,(RiskSlide!$A$7),($G97+BL$3),((RiskSlide!$A$12)/260),$C97,$B97,RiskSlide!$H126)</f>
        <v>-701.53684951708328</v>
      </c>
      <c r="BM97">
        <f>PnL((($D$7*(1+BM$2))+($D$5-$D$6)),$E97,(RiskSlide!$A$7),($G97+BM$3),((RiskSlide!$A$12)/260),$C97,$B97,RiskSlide!$H126)</f>
        <v>4984.0692010027678</v>
      </c>
      <c r="BN97">
        <f>PnL((($D$7*(1+BN$2))+($D$5-$D$6)),$E97,(RiskSlide!$A$7),($G97+BN$3),((RiskSlide!$A$12)/260),$C97,$B97,RiskSlide!$H126)</f>
        <v>2633.3249514146928</v>
      </c>
      <c r="BO97">
        <f>PnL((($D$7*(1+BO$2))+($D$5-$D$6)),$E97,(RiskSlide!$A$7),($G97+BO$3),((RiskSlide!$A$12)/260),$C97,$B97,RiskSlide!$H126)</f>
        <v>971.91803995134762</v>
      </c>
      <c r="BP97">
        <f>PnL((($D$7*(1+BP$2))+($D$5-$D$6)),$E97,(RiskSlide!$A$7),($G97+BP$3),((RiskSlide!$A$12)/260),$C97,$B97,RiskSlide!$H126)</f>
        <v>787.23403175007434</v>
      </c>
      <c r="BQ97">
        <f>PnL((($D$7*(1+BQ$2))+($D$5-$D$6)),$E97,(RiskSlide!$A$7),($G97+BQ$3),((RiskSlide!$A$12)/260),$C97,$B97,RiskSlide!$H126)</f>
        <v>609.44714813560097</v>
      </c>
      <c r="BR97">
        <f>PnL((($D$7*(1+BR$2))+($D$5-$D$6)),$E97,(RiskSlide!$A$7),($G97+BR$3),((RiskSlide!$A$12)/260),$C97,$B97,RiskSlide!$H126)</f>
        <v>439.27017552942971</v>
      </c>
      <c r="BS97">
        <f>PnL((($D$7*(1+BS$2))+($D$5-$D$6)),$E97,(RiskSlide!$A$7),($G97+BS$3),((RiskSlide!$A$12)/260),$C97,$B97,RiskSlide!$H126)</f>
        <v>277.49365128271108</v>
      </c>
      <c r="BT97">
        <f>PnL((($D$7*(1+BT$2))+($D$5-$D$6)),$E97,(RiskSlide!$A$7),($G97+BT$3),((RiskSlide!$A$12)/260),$C97,$B97,RiskSlide!$H126)</f>
        <v>-599.06920361395066</v>
      </c>
      <c r="BU97">
        <f>PnL((($D$7*(1+BU$2))+($D$5-$D$6)),$E97,(RiskSlide!$A$7),($G97+BU$3),((RiskSlide!$A$12)/260),$C97,$B97,RiskSlide!$H126)</f>
        <v>-701.53684951708328</v>
      </c>
      <c r="BV97">
        <f>PnL((($D$7*(1+BV$2))+($D$5-$D$6)),$E97,(RiskSlide!$A$7),($G97+BV$3),((RiskSlide!$A$12)/260),$C97,$B97,RiskSlide!$H126)</f>
        <v>12869.930706928557</v>
      </c>
      <c r="BW97">
        <f>PnL((($D$7*(1+BW$2))+($D$5-$D$6)),$E97,(RiskSlide!$A$7),($G97+BW$3),((RiskSlide!$A$12)/260),$C97,$B97,RiskSlide!$H126)</f>
        <v>10089.69586440793</v>
      </c>
      <c r="BX97">
        <f>PnL((($D$7*(1+BX$2))+($D$5-$D$6)),$E97,(RiskSlide!$A$7),($G97+BX$3),((RiskSlide!$A$12)/260),$C97,$B97,RiskSlide!$H126)</f>
        <v>7885.0861695960357</v>
      </c>
      <c r="BY97">
        <f>PnL((($D$7*(1+BY$2))+($D$5-$D$6)),$E97,(RiskSlide!$A$7),($G97+BY$3),((RiskSlide!$A$12)/260),$C97,$B97,RiskSlide!$H126)</f>
        <v>7611.7939869944275</v>
      </c>
      <c r="BZ97">
        <f>PnL((($D$7*(1+BZ$2))+($D$5-$D$6)),$E97,(RiskSlide!$A$7),($G97+BZ$3),((RiskSlide!$A$12)/260),$C97,$B97,RiskSlide!$H126)</f>
        <v>7339.2479273369991</v>
      </c>
      <c r="CA97">
        <f>PnL((($D$7*(1+CA$2))+($D$5-$D$6)),$E97,(RiskSlide!$A$7),($G97+CA$3),((RiskSlide!$A$12)/260),$C97,$B97,RiskSlide!$H126)</f>
        <v>7067.5576333142089</v>
      </c>
      <c r="CB97">
        <f>PnL((($D$7*(1+CB$2))+($D$5-$D$6)),$E97,(RiskSlide!$A$7),($G97+CB$3),((RiskSlide!$A$12)/260),$C97,$B97,RiskSlide!$H126)</f>
        <v>6796.8549941419951</v>
      </c>
      <c r="CC97">
        <f>PnL((($D$7*(1+CC$2))+($D$5-$D$6)),$E97,(RiskSlide!$A$7),($G97+CC$3),((RiskSlide!$A$12)/260),$C97,$B97,RiskSlide!$H126)</f>
        <v>4697.3316800232396</v>
      </c>
      <c r="CD97">
        <f>PnL((($D$7*(1+CD$2))+($D$5-$D$6)),$E97,(RiskSlide!$A$7),($G97+CD$3),((RiskSlide!$A$12)/260),$C97,$B97,RiskSlide!$H126)</f>
        <v>3128.6121245657341</v>
      </c>
      <c r="CE97">
        <f>PnL((($D$7*(1+CE$2))+($D$5-$D$6)),$E97,(RiskSlide!$A$7),($G97+CE$3),((RiskSlide!$A$12)/260),$C97,$B97,RiskSlide!$H126)</f>
        <v>28489.007952353859</v>
      </c>
      <c r="CF97">
        <f>PnL((($D$7*(1+CF$2))+($D$5-$D$6)),$E97,(RiskSlide!$A$7),($G97+CF$3),((RiskSlide!$A$12)/260),$C97,$B97,RiskSlide!$H126)</f>
        <v>26757.774186313611</v>
      </c>
      <c r="CG97">
        <f>PnL((($D$7*(1+CG$2))+($D$5-$D$6)),$E97,(RiskSlide!$A$7),($G97+CG$3),((RiskSlide!$A$12)/260),$C97,$B97,RiskSlide!$H126)</f>
        <v>25820.477267453556</v>
      </c>
      <c r="CH97">
        <f>PnL((($D$7*(1+CH$2))+($D$5-$D$6)),$E97,(RiskSlide!$A$7),($G97+CH$3),((RiskSlide!$A$12)/260),$C97,$B97,RiskSlide!$H126)</f>
        <v>25740.597120718234</v>
      </c>
      <c r="CI97">
        <f>PnL((($D$7*(1+CI$2))+($D$5-$D$6)),$E97,(RiskSlide!$A$7),($G97+CI$3),((RiskSlide!$A$12)/260),$C97,$B97,RiskSlide!$H126)</f>
        <v>25669.859417975658</v>
      </c>
      <c r="CJ97">
        <f>PnL((($D$7*(1+CJ$2))+($D$5-$D$6)),$E97,(RiskSlide!$A$7),($G97+CJ$3),((RiskSlide!$A$12)/260),$C97,$B97,RiskSlide!$H126)</f>
        <v>25608.342978953035</v>
      </c>
      <c r="CK97">
        <f>PnL((($D$7*(1+CK$2))+($D$5-$D$6)),$E97,(RiskSlide!$A$7),($G97+CK$3),((RiskSlide!$A$12)/260),$C97,$B97,RiskSlide!$H126)</f>
        <v>25556.005095263798</v>
      </c>
      <c r="CL97">
        <f>PnL((($D$7*(1+CL$2))+($D$5-$D$6)),$E97,(RiskSlide!$A$7),($G97+CL$3),((RiskSlide!$A$12)/260),$C97,$B97,RiskSlide!$H126)</f>
        <v>25403.028501611232</v>
      </c>
      <c r="CM97">
        <f>PnL((($D$7*(1+CM$2))+($D$5-$D$6)),$E97,(RiskSlide!$A$7),($G97+CM$3),((RiskSlide!$A$12)/260),$C97,$B97,RiskSlide!$H126)</f>
        <v>25401.862092431315</v>
      </c>
    </row>
    <row r="98" spans="1:91" x14ac:dyDescent="0.25">
      <c r="A98" t="s">
        <v>93</v>
      </c>
      <c r="B98">
        <v>2</v>
      </c>
      <c r="C98">
        <v>1</v>
      </c>
      <c r="E98">
        <v>1855</v>
      </c>
      <c r="F98">
        <v>3.5000000000000001E-3</v>
      </c>
      <c r="G98">
        <v>0.104643</v>
      </c>
      <c r="K98">
        <f>PnL((($D$7*(1+K$2))+($D$5-$D$6)),$E98,(RiskSlide!$A$7),($G98+K$3),((RiskSlide!$A$12)/260),$C98,$B98,RiskSlide!$H127)</f>
        <v>-199.0333358329849</v>
      </c>
      <c r="L98">
        <f>PnL((($D$7*(1+L$2))+($D$5-$D$6)),$E98,(RiskSlide!$A$7),($G98+L$3),((RiskSlide!$A$12)/260),$C98,$B98,RiskSlide!$H127)</f>
        <v>-226.5780258127366</v>
      </c>
      <c r="M98">
        <f>PnL((($D$7*(1+M$2))+($D$5-$D$6)),$E98,(RiskSlide!$A$7),($G98+M$3),((RiskSlide!$A$12)/260),$C98,$B98,RiskSlide!$H127)</f>
        <v>-228.21114139549925</v>
      </c>
      <c r="N98">
        <f>PnL((($D$7*(1+N$2))+($D$5-$D$6)),$E98,(RiskSlide!$A$7),($G98+N$3),((RiskSlide!$A$12)/260),$C98,$B98,RiskSlide!$H127)</f>
        <v>-228.21851544596049</v>
      </c>
      <c r="O98">
        <f>PnL((($D$7*(1+O$2))+($D$5-$D$6)),$E98,(RiskSlide!$A$7),($G98+O$3),((RiskSlide!$A$12)/260),$C98,$B98,RiskSlide!$H127)</f>
        <v>-228.22149329522139</v>
      </c>
      <c r="P98">
        <f>PnL((($D$7*(1+P$2))+($D$5-$D$6)),$E98,(RiskSlide!$A$7),($G98+P$3),((RiskSlide!$A$12)/260),$C98,$B98,RiskSlide!$H127)</f>
        <v>-228.22254465160995</v>
      </c>
      <c r="Q98">
        <f>PnL((($D$7*(1+Q$2))+($D$5-$D$6)),$E98,(RiskSlide!$A$7),($G98+Q$3),((RiskSlide!$A$12)/260),$C98,$B98,RiskSlide!$H127)</f>
        <v>-228.2228603609835</v>
      </c>
      <c r="R98">
        <f>PnL((($D$7*(1+R$2))+($D$5-$D$6)),$E98,(RiskSlide!$A$7),($G98+R$3),((RiskSlide!$A$12)/260),$C98,$B98,RiskSlide!$H127)</f>
        <v>-228.22295572244968</v>
      </c>
      <c r="S98">
        <f>PnL((($D$7*(1+S$2))+($D$5-$D$6)),$E98,(RiskSlide!$A$7),($G98+S$3),((RiskSlide!$A$12)/260),$C98,$B98,RiskSlide!$H127)</f>
        <v>-228.22295572244968</v>
      </c>
      <c r="T98">
        <f>PnL((($D$7*(1+T$2))+($D$5-$D$6)),$E98,(RiskSlide!$A$7),($G98+T$3),((RiskSlide!$A$12)/260),$C98,$B98,RiskSlide!$H127)</f>
        <v>75.230882962272005</v>
      </c>
      <c r="U98">
        <f>PnL((($D$7*(1+U$2))+($D$5-$D$6)),$E98,(RiskSlide!$A$7),($G98+U$3),((RiskSlide!$A$12)/260),$C98,$B98,RiskSlide!$H127)</f>
        <v>-161.29124867385016</v>
      </c>
      <c r="V98">
        <f>PnL((($D$7*(1+V$2))+($D$5-$D$6)),$E98,(RiskSlide!$A$7),($G98+V$3),((RiskSlide!$A$12)/260),$C98,$B98,RiskSlide!$H127)</f>
        <v>-222.19073622821784</v>
      </c>
      <c r="W98">
        <f>PnL((($D$7*(1+W$2))+($D$5-$D$6)),$E98,(RiskSlide!$A$7),($G98+W$3),((RiskSlide!$A$12)/260),$C98,$B98,RiskSlide!$H127)</f>
        <v>-224.41551504074675</v>
      </c>
      <c r="X98">
        <f>PnL((($D$7*(1+X$2))+($D$5-$D$6)),$E98,(RiskSlide!$A$7),($G98+X$3),((RiskSlide!$A$12)/260),$C98,$B98,RiskSlide!$H127)</f>
        <v>-225.9535146260155</v>
      </c>
      <c r="Y98">
        <f>PnL((($D$7*(1+Y$2))+($D$5-$D$6)),$E98,(RiskSlide!$A$7),($G98+Y$3),((RiskSlide!$A$12)/260),$C98,$B98,RiskSlide!$H127)</f>
        <v>-226.9596312245223</v>
      </c>
      <c r="Z98">
        <f>PnL((($D$7*(1+Z$2))+($D$5-$D$6)),$E98,(RiskSlide!$A$7),($G98+Z$3),((RiskSlide!$A$12)/260),$C98,$B98,RiskSlide!$H127)</f>
        <v>-227.57532172552155</v>
      </c>
      <c r="AA98">
        <f>PnL((($D$7*(1+AA$2))+($D$5-$D$6)),$E98,(RiskSlide!$A$7),($G98+AA$3),((RiskSlide!$A$12)/260),$C98,$B98,RiskSlide!$H127)</f>
        <v>-228.22295306065143</v>
      </c>
      <c r="AB98">
        <f>PnL((($D$7*(1+AB$2))+($D$5-$D$6)),$E98,(RiskSlide!$A$7),($G98+AB$3),((RiskSlide!$A$12)/260),$C98,$B98,RiskSlide!$H127)</f>
        <v>-228.22295572244968</v>
      </c>
      <c r="AC98">
        <f>PnL((($D$7*(1+AC$2))+($D$5-$D$6)),$E98,(RiskSlide!$A$7),($G98+AC$3),((RiskSlide!$A$12)/260),$C98,$B98,RiskSlide!$H127)</f>
        <v>983.11270248253493</v>
      </c>
      <c r="AD98">
        <f>PnL((($D$7*(1+AD$2))+($D$5-$D$6)),$E98,(RiskSlide!$A$7),($G98+AD$3),((RiskSlide!$A$12)/260),$C98,$B98,RiskSlide!$H127)</f>
        <v>310.78382450847641</v>
      </c>
      <c r="AE98">
        <f>PnL((($D$7*(1+AE$2))+($D$5-$D$6)),$E98,(RiskSlide!$A$7),($G98+AE$3),((RiskSlide!$A$12)/260),$C98,$B98,RiskSlide!$H127)</f>
        <v>-58.454728820427704</v>
      </c>
      <c r="AF98">
        <f>PnL((($D$7*(1+AF$2))+($D$5-$D$6)),$E98,(RiskSlide!$A$7),($G98+AF$3),((RiskSlide!$A$12)/260),$C98,$B98,RiskSlide!$H127)</f>
        <v>-90.350484070364701</v>
      </c>
      <c r="AG98">
        <f>PnL((($D$7*(1+AG$2))+($D$5-$D$6)),$E98,(RiskSlide!$A$7),($G98+AG$3),((RiskSlide!$A$12)/260),$C98,$B98,RiskSlide!$H127)</f>
        <v>-118.70565816661269</v>
      </c>
      <c r="AH98">
        <f>PnL((($D$7*(1+AH$2))+($D$5-$D$6)),$E98,(RiskSlide!$A$7),($G98+AH$3),((RiskSlide!$A$12)/260),$C98,$B98,RiskSlide!$H127)</f>
        <v>-143.47157461025262</v>
      </c>
      <c r="AI98">
        <f>PnL((($D$7*(1+AI$2))+($D$5-$D$6)),$E98,(RiskSlide!$A$7),($G98+AI$3),((RiskSlide!$A$12)/260),$C98,$B98,RiskSlide!$H127)</f>
        <v>-164.64463522999324</v>
      </c>
      <c r="AJ98">
        <f>PnL((($D$7*(1+AJ$2))+($D$5-$D$6)),$E98,(RiskSlide!$A$7),($G98+AJ$3),((RiskSlide!$A$12)/260),$C98,$B98,RiskSlide!$H127)</f>
        <v>-227.71148989142173</v>
      </c>
      <c r="AK98">
        <f>PnL((($D$7*(1+AK$2))+($D$5-$D$6)),$E98,(RiskSlide!$A$7),($G98+AK$3),((RiskSlide!$A$12)/260),$C98,$B98,RiskSlide!$H127)</f>
        <v>-228.22295572244968</v>
      </c>
      <c r="AL98">
        <f>PnL((($D$7*(1+AL$2))+($D$5-$D$6)),$E98,(RiskSlide!$A$7),($G98+AL$3),((RiskSlide!$A$12)/260),$C98,$B98,RiskSlide!$H127)</f>
        <v>1174.881241589756</v>
      </c>
      <c r="AM98">
        <f>PnL((($D$7*(1+AM$2))+($D$5-$D$6)),$E98,(RiskSlide!$A$7),($G98+AM$3),((RiskSlide!$A$12)/260),$C98,$B98,RiskSlide!$H127)</f>
        <v>439.45206203735268</v>
      </c>
      <c r="AN98">
        <f>PnL((($D$7*(1+AN$2))+($D$5-$D$6)),$E98,(RiskSlide!$A$7),($G98+AN$3),((RiskSlide!$A$12)/260),$C98,$B98,RiskSlide!$H127)</f>
        <v>7.7479089877556362</v>
      </c>
      <c r="AO98">
        <f>PnL((($D$7*(1+AO$2))+($D$5-$D$6)),$E98,(RiskSlide!$A$7),($G98+AO$3),((RiskSlide!$A$12)/260),$C98,$B98,RiskSlide!$H127)</f>
        <v>-32.172870238437667</v>
      </c>
      <c r="AP98">
        <f>PnL((($D$7*(1+AP$2))+($D$5-$D$6)),$E98,(RiskSlide!$A$7),($G98+AP$3),((RiskSlide!$A$12)/260),$C98,$B98,RiskSlide!$H127)</f>
        <v>-68.421531792229473</v>
      </c>
      <c r="AQ98">
        <f>PnL((($D$7*(1+AQ$2))+($D$5-$D$6)),$E98,(RiskSlide!$A$7),($G98+AQ$3),((RiskSlide!$A$12)/260),$C98,$B98,RiskSlide!$H127)</f>
        <v>-100.86193466505335</v>
      </c>
      <c r="AR98">
        <f>PnL((($D$7*(1+AR$2))+($D$5-$D$6)),$E98,(RiskSlide!$A$7),($G98+AR$3),((RiskSlide!$A$12)/260),$C98,$B98,RiskSlide!$H127)</f>
        <v>-129.38888857341482</v>
      </c>
      <c r="AS98">
        <f>PnL((($D$7*(1+AS$2))+($D$5-$D$6)),$E98,(RiskSlide!$A$7),($G98+AS$3),((RiskSlide!$A$12)/260),$C98,$B98,RiskSlide!$H127)</f>
        <v>-226.69101530704415</v>
      </c>
      <c r="AT98">
        <f>PnL((($D$7*(1+AT$2))+($D$5-$D$6)),$E98,(RiskSlide!$A$7),($G98+AT$3),((RiskSlide!$A$12)/260),$C98,$B98,RiskSlide!$H127)</f>
        <v>-228.22295572244968</v>
      </c>
      <c r="AU98">
        <f>PnL((($D$7*(1+AU$2))+($D$5-$D$6)),$E98,(RiskSlide!$A$7),($G98+AU$3),((RiskSlide!$A$12)/260),$C98,$B98,RiskSlide!$H127)</f>
        <v>1388.4368885587464</v>
      </c>
      <c r="AV98">
        <f>PnL((($D$7*(1+AV$2))+($D$5-$D$6)),$E98,(RiskSlide!$A$7),($G98+AV$3),((RiskSlide!$A$12)/260),$C98,$B98,RiskSlide!$H127)</f>
        <v>591.08416876631793</v>
      </c>
      <c r="AW98">
        <f>PnL((($D$7*(1+AW$2))+($D$5-$D$6)),$E98,(RiskSlide!$A$7),($G98+AW$3),((RiskSlide!$A$12)/260),$C98,$B98,RiskSlide!$H127)</f>
        <v>94.020982614784998</v>
      </c>
      <c r="AX98">
        <f>PnL((($D$7*(1+AX$2))+($D$5-$D$6)),$E98,(RiskSlide!$A$7),($G98+AX$3),((RiskSlide!$A$12)/260),$C98,$B98,RiskSlide!$H127)</f>
        <v>45.18957037766711</v>
      </c>
      <c r="AY98">
        <f>PnL((($D$7*(1+AY$2))+($D$5-$D$6)),$E98,(RiskSlide!$A$7),($G98+AY$3),((RiskSlide!$A$12)/260),$C98,$B98,RiskSlide!$H127)</f>
        <v>0</v>
      </c>
      <c r="AZ98">
        <f>PnL((($D$7*(1+AZ$2))+($D$5-$D$6)),$E98,(RiskSlide!$A$7),($G98+AZ$3),((RiskSlide!$A$12)/260),$C98,$B98,RiskSlide!$H127)</f>
        <v>-41.334803660978992</v>
      </c>
      <c r="BA98">
        <f>PnL((($D$7*(1+BA$2))+($D$5-$D$6)),$E98,(RiskSlide!$A$7),($G98+BA$3),((RiskSlide!$A$12)/260),$C98,$B98,RiskSlide!$H127)</f>
        <v>-78.613932332481795</v>
      </c>
      <c r="BB98">
        <f>PnL((($D$7*(1+BB$2))+($D$5-$D$6)),$E98,(RiskSlide!$A$7),($G98+BB$3),((RiskSlide!$A$12)/260),$C98,$B98,RiskSlide!$H127)</f>
        <v>-224.01333935549647</v>
      </c>
      <c r="BC98">
        <f>PnL((($D$7*(1+BC$2))+($D$5-$D$6)),$E98,(RiskSlide!$A$7),($G98+BC$3),((RiskSlide!$A$12)/260),$C98,$B98,RiskSlide!$H127)</f>
        <v>-228.22295572244968</v>
      </c>
      <c r="BD98">
        <f>PnL((($D$7*(1+BD$2))+($D$5-$D$6)),$E98,(RiskSlide!$A$7),($G98+BD$3),((RiskSlide!$A$12)/260),$C98,$B98,RiskSlide!$H127)</f>
        <v>1624.9461709390885</v>
      </c>
      <c r="BE98">
        <f>PnL((($D$7*(1+BE$2))+($D$5-$D$6)),$E98,(RiskSlide!$A$7),($G98+BE$3),((RiskSlide!$A$12)/260),$C98,$B98,RiskSlide!$H127)</f>
        <v>768.01715056841715</v>
      </c>
      <c r="BF98">
        <f>PnL((($D$7*(1+BF$2))+($D$5-$D$6)),$E98,(RiskSlide!$A$7),($G98+BF$3),((RiskSlide!$A$12)/260),$C98,$B98,RiskSlide!$H127)</f>
        <v>204.37611540022829</v>
      </c>
      <c r="BG98">
        <f>PnL((($D$7*(1+BG$2))+($D$5-$D$6)),$E98,(RiskSlide!$A$7),($G98+BG$3),((RiskSlide!$A$12)/260),$C98,$B98,RiskSlide!$H127)</f>
        <v>145.98092668470315</v>
      </c>
      <c r="BH98">
        <f>PnL((($D$7*(1+BH$2))+($D$5-$D$6)),$E98,(RiskSlide!$A$7),($G98+BH$3),((RiskSlide!$A$12)/260),$C98,$B98,RiskSlide!$H127)</f>
        <v>91.023397373322723</v>
      </c>
      <c r="BI98">
        <f>PnL((($D$7*(1+BI$2))+($D$5-$D$6)),$E98,(RiskSlide!$A$7),($G98+BI$3),((RiskSlide!$A$12)/260),$C98,$B98,RiskSlide!$H127)</f>
        <v>39.771028080639326</v>
      </c>
      <c r="BJ98">
        <f>PnL((($D$7*(1+BJ$2))+($D$5-$D$6)),$E98,(RiskSlide!$A$7),($G98+BJ$3),((RiskSlide!$A$12)/260),$C98,$B98,RiskSlide!$H127)</f>
        <v>-7.5007165565352807</v>
      </c>
      <c r="BK98">
        <f>PnL((($D$7*(1+BK$2))+($D$5-$D$6)),$E98,(RiskSlide!$A$7),($G98+BK$3),((RiskSlide!$A$12)/260),$C98,$B98,RiskSlide!$H127)</f>
        <v>-217.58172411288896</v>
      </c>
      <c r="BL98">
        <f>PnL((($D$7*(1+BL$2))+($D$5-$D$6)),$E98,(RiskSlide!$A$7),($G98+BL$3),((RiskSlide!$A$12)/260),$C98,$B98,RiskSlide!$H127)</f>
        <v>-228.22295572244968</v>
      </c>
      <c r="BM98">
        <f>PnL((($D$7*(1+BM$2))+($D$5-$D$6)),$E98,(RiskSlide!$A$7),($G98+BM$3),((RiskSlide!$A$12)/260),$C98,$B98,RiskSlide!$H127)</f>
        <v>1885.4754072150486</v>
      </c>
      <c r="BN98">
        <f>PnL((($D$7*(1+BN$2))+($D$5-$D$6)),$E98,(RiskSlide!$A$7),($G98+BN$3),((RiskSlide!$A$12)/260),$C98,$B98,RiskSlide!$H127)</f>
        <v>972.49784375933075</v>
      </c>
      <c r="BO98">
        <f>PnL((($D$7*(1+BO$2))+($D$5-$D$6)),$E98,(RiskSlide!$A$7),($G98+BO$3),((RiskSlide!$A$12)/260),$C98,$B98,RiskSlide!$H127)</f>
        <v>343.0113270947146</v>
      </c>
      <c r="BP98">
        <f>PnL((($D$7*(1+BP$2))+($D$5-$D$6)),$E98,(RiskSlide!$A$7),($G98+BP$3),((RiskSlide!$A$12)/260),$C98,$B98,RiskSlide!$H127)</f>
        <v>274.71874270855494</v>
      </c>
      <c r="BQ98">
        <f>PnL((($D$7*(1+BQ$2))+($D$5-$D$6)),$E98,(RiskSlide!$A$7),($G98+BQ$3),((RiskSlide!$A$12)/260),$C98,$B98,RiskSlide!$H127)</f>
        <v>209.49392779414495</v>
      </c>
      <c r="BR98">
        <f>PnL((($D$7*(1+BR$2))+($D$5-$D$6)),$E98,(RiskSlide!$A$7),($G98+BR$3),((RiskSlide!$A$12)/260),$C98,$B98,RiskSlide!$H127)</f>
        <v>147.6283975316619</v>
      </c>
      <c r="BS98">
        <f>PnL((($D$7*(1+BS$2))+($D$5-$D$6)),$E98,(RiskSlide!$A$7),($G98+BS$3),((RiskSlide!$A$12)/260),$C98,$B98,RiskSlide!$H127)</f>
        <v>89.438497356613311</v>
      </c>
      <c r="BT98">
        <f>PnL((($D$7*(1+BT$2))+($D$5-$D$6)),$E98,(RiskSlide!$A$7),($G98+BT$3),((RiskSlide!$A$12)/260),$C98,$B98,RiskSlide!$H127)</f>
        <v>-203.40674466098889</v>
      </c>
      <c r="BU98">
        <f>PnL((($D$7*(1+BU$2))+($D$5-$D$6)),$E98,(RiskSlide!$A$7),($G98+BU$3),((RiskSlide!$A$12)/260),$C98,$B98,RiskSlide!$H127)</f>
        <v>-228.22295572244968</v>
      </c>
      <c r="BV98">
        <f>PnL((($D$7*(1+BV$2))+($D$5-$D$6)),$E98,(RiskSlide!$A$7),($G98+BV$3),((RiskSlide!$A$12)/260),$C98,$B98,RiskSlide!$H127)</f>
        <v>4918.007735604132</v>
      </c>
      <c r="BW98">
        <f>PnL((($D$7*(1+BW$2))+($D$5-$D$6)),$E98,(RiskSlide!$A$7),($G98+BW$3),((RiskSlide!$A$12)/260),$C98,$B98,RiskSlide!$H127)</f>
        <v>3797.3965903201902</v>
      </c>
      <c r="BX98">
        <f>PnL((($D$7*(1+BX$2))+($D$5-$D$6)),$E98,(RiskSlide!$A$7),($G98+BX$3),((RiskSlide!$A$12)/260),$C98,$B98,RiskSlide!$H127)</f>
        <v>2904.4643560630534</v>
      </c>
      <c r="BY98">
        <f>PnL((($D$7*(1+BY$2))+($D$5-$D$6)),$E98,(RiskSlide!$A$7),($G98+BY$3),((RiskSlide!$A$12)/260),$C98,$B98,RiskSlide!$H127)</f>
        <v>2793.2710995658313</v>
      </c>
      <c r="BZ98">
        <f>PnL((($D$7*(1+BZ$2))+($D$5-$D$6)),$E98,(RiskSlide!$A$7),($G98+BZ$3),((RiskSlide!$A$12)/260),$C98,$B98,RiskSlide!$H127)</f>
        <v>2682.2174373016737</v>
      </c>
      <c r="CA98">
        <f>PnL((($D$7*(1+CA$2))+($D$5-$D$6)),$E98,(RiskSlide!$A$7),($G98+CA$3),((RiskSlide!$A$12)/260),$C98,$B98,RiskSlide!$H127)</f>
        <v>2571.3244413178104</v>
      </c>
      <c r="CB98">
        <f>PnL((($D$7*(1+CB$2))+($D$5-$D$6)),$E98,(RiskSlide!$A$7),($G98+CB$3),((RiskSlide!$A$12)/260),$C98,$B98,RiskSlide!$H127)</f>
        <v>2460.6175600777847</v>
      </c>
      <c r="CC98">
        <f>PnL((($D$7*(1+CC$2))+($D$5-$D$6)),$E98,(RiskSlide!$A$7),($G98+CC$3),((RiskSlide!$A$12)/260),$C98,$B98,RiskSlide!$H127)</f>
        <v>1587.693002872024</v>
      </c>
      <c r="CD98">
        <f>PnL((($D$7*(1+CD$2))+($D$5-$D$6)),$E98,(RiskSlide!$A$7),($G98+CD$3),((RiskSlide!$A$12)/260),$C98,$B98,RiskSlide!$H127)</f>
        <v>804.00062867925897</v>
      </c>
      <c r="CE98">
        <f>PnL((($D$7*(1+CE$2))+($D$5-$D$6)),$E98,(RiskSlide!$A$7),($G98+CE$3),((RiskSlide!$A$12)/260),$C98,$B98,RiskSlide!$H127)</f>
        <v>11038.12305954817</v>
      </c>
      <c r="CF98">
        <f>PnL((($D$7*(1+CF$2))+($D$5-$D$6)),$E98,(RiskSlide!$A$7),($G98+CF$3),((RiskSlide!$A$12)/260),$C98,$B98,RiskSlide!$H127)</f>
        <v>10313.039121609458</v>
      </c>
      <c r="CG98">
        <f>PnL((($D$7*(1+CG$2))+($D$5-$D$6)),$E98,(RiskSlide!$A$7),($G98+CG$3),((RiskSlide!$A$12)/260),$C98,$B98,RiskSlide!$H127)</f>
        <v>9907.882186339848</v>
      </c>
      <c r="CH98">
        <f>PnL((($D$7*(1+CH$2))+($D$5-$D$6)),$E98,(RiskSlide!$A$7),($G98+CH$3),((RiskSlide!$A$12)/260),$C98,$B98,RiskSlide!$H127)</f>
        <v>9872.2549774160234</v>
      </c>
      <c r="CI98">
        <f>PnL((($D$7*(1+CI$2))+($D$5-$D$6)),$E98,(RiskSlide!$A$7),($G98+CI$3),((RiskSlide!$A$12)/260),$C98,$B98,RiskSlide!$H127)</f>
        <v>9840.4075157963089</v>
      </c>
      <c r="CJ98">
        <f>PnL((($D$7*(1+CJ$2))+($D$5-$D$6)),$E98,(RiskSlide!$A$7),($G98+CJ$3),((RiskSlide!$A$12)/260),$C98,$B98,RiskSlide!$H127)</f>
        <v>9812.4145225817847</v>
      </c>
      <c r="CK98">
        <f>PnL((($D$7*(1+CK$2))+($D$5-$D$6)),$E98,(RiskSlide!$A$7),($G98+CK$3),((RiskSlide!$A$12)/260),$C98,$B98,RiskSlide!$H127)</f>
        <v>9788.3063079038129</v>
      </c>
      <c r="CL98">
        <f>PnL((($D$7*(1+CL$2))+($D$5-$D$6)),$E98,(RiskSlide!$A$7),($G98+CL$3),((RiskSlide!$A$12)/260),$C98,$B98,RiskSlide!$H127)</f>
        <v>9714.0133959278137</v>
      </c>
      <c r="CM98">
        <f>PnL((($D$7*(1+CM$2))+($D$5-$D$6)),$E98,(RiskSlide!$A$7),($G98+CM$3),((RiskSlide!$A$12)/260),$C98,$B98,RiskSlide!$H127)</f>
        <v>9713.2981334265733</v>
      </c>
    </row>
    <row r="99" spans="1:91" x14ac:dyDescent="0.25">
      <c r="A99" t="s">
        <v>94</v>
      </c>
      <c r="B99">
        <v>1</v>
      </c>
      <c r="C99">
        <v>1</v>
      </c>
      <c r="E99">
        <v>1860</v>
      </c>
      <c r="F99">
        <v>3.5000000000000001E-3</v>
      </c>
      <c r="G99">
        <v>0.10406799999999999</v>
      </c>
      <c r="K99">
        <f>PnL((($D$7*(1+K$2))+($D$5-$D$6)),$E99,(RiskSlide!$A$7),($G99+K$3),((RiskSlide!$A$12)/260),$C99,$B99,RiskSlide!$H128)</f>
        <v>-80.064025876335336</v>
      </c>
      <c r="L99">
        <f>PnL((($D$7*(1+L$2))+($D$5-$D$6)),$E99,(RiskSlide!$A$7),($G99+L$3),((RiskSlide!$A$12)/260),$C99,$B99,RiskSlide!$H128)</f>
        <v>-91.945635165135116</v>
      </c>
      <c r="M99">
        <f>PnL((($D$7*(1+M$2))+($D$5-$D$6)),$E99,(RiskSlide!$A$7),($G99+M$3),((RiskSlide!$A$12)/260),$C99,$B99,RiskSlide!$H128)</f>
        <v>-92.575989040852718</v>
      </c>
      <c r="N99">
        <f>PnL((($D$7*(1+N$2))+($D$5-$D$6)),$E99,(RiskSlide!$A$7),($G99+N$3),((RiskSlide!$A$12)/260),$C99,$B99,RiskSlide!$H128)</f>
        <v>-92.578346303124846</v>
      </c>
      <c r="O99">
        <f>PnL((($D$7*(1+O$2))+($D$5-$D$6)),$E99,(RiskSlide!$A$7),($G99+O$3),((RiskSlide!$A$12)/260),$C99,$B99,RiskSlide!$H128)</f>
        <v>-92.579254137702378</v>
      </c>
      <c r="P99">
        <f>PnL((($D$7*(1+P$2))+($D$5-$D$6)),$E99,(RiskSlide!$A$7),($G99+P$3),((RiskSlide!$A$12)/260),$C99,$B99,RiskSlide!$H128)</f>
        <v>-92.579557458289401</v>
      </c>
      <c r="Q99">
        <f>PnL((($D$7*(1+Q$2))+($D$5-$D$6)),$E99,(RiskSlide!$A$7),($G99+Q$3),((RiskSlide!$A$12)/260),$C99,$B99,RiskSlide!$H128)</f>
        <v>-92.579642844542022</v>
      </c>
      <c r="R99">
        <f>PnL((($D$7*(1+R$2))+($D$5-$D$6)),$E99,(RiskSlide!$A$7),($G99+R$3),((RiskSlide!$A$12)/260),$C99,$B99,RiskSlide!$H128)</f>
        <v>-92.57966629975698</v>
      </c>
      <c r="S99">
        <f>PnL((($D$7*(1+S$2))+($D$5-$D$6)),$E99,(RiskSlide!$A$7),($G99+S$3),((RiskSlide!$A$12)/260),$C99,$B99,RiskSlide!$H128)</f>
        <v>-92.57966629975698</v>
      </c>
      <c r="T99">
        <f>PnL((($D$7*(1+T$2))+($D$5-$D$6)),$E99,(RiskSlide!$A$7),($G99+T$3),((RiskSlide!$A$12)/260),$C99,$B99,RiskSlide!$H128)</f>
        <v>43.057447390525283</v>
      </c>
      <c r="U99">
        <f>PnL((($D$7*(1+U$2))+($D$5-$D$6)),$E99,(RiskSlide!$A$7),($G99+U$3),((RiskSlide!$A$12)/260),$C99,$B99,RiskSlide!$H128)</f>
        <v>-64.610968966253424</v>
      </c>
      <c r="V99">
        <f>PnL((($D$7*(1+V$2))+($D$5-$D$6)),$E99,(RiskSlide!$A$7),($G99+V$3),((RiskSlide!$A$12)/260),$C99,$B99,RiskSlide!$H128)</f>
        <v>-90.36339990695916</v>
      </c>
      <c r="W99">
        <f>PnL((($D$7*(1+W$2))+($D$5-$D$6)),$E99,(RiskSlide!$A$7),($G99+W$3),((RiskSlide!$A$12)/260),$C99,$B99,RiskSlide!$H128)</f>
        <v>-91.218062061608563</v>
      </c>
      <c r="X99">
        <f>PnL((($D$7*(1+X$2))+($D$5-$D$6)),$E99,(RiskSlide!$A$7),($G99+X$3),((RiskSlide!$A$12)/260),$C99,$B99,RiskSlide!$H128)</f>
        <v>-91.792966683958383</v>
      </c>
      <c r="Y99">
        <f>PnL((($D$7*(1+Y$2))+($D$5-$D$6)),$E99,(RiskSlide!$A$7),($G99+Y$3),((RiskSlide!$A$12)/260),$C99,$B99,RiskSlide!$H128)</f>
        <v>-92.157308782096152</v>
      </c>
      <c r="Z99">
        <f>PnL((($D$7*(1+Z$2))+($D$5-$D$6)),$E99,(RiskSlide!$A$7),($G99+Z$3),((RiskSlide!$A$12)/260),$C99,$B99,RiskSlide!$H128)</f>
        <v>-92.372145601669047</v>
      </c>
      <c r="AA99">
        <f>PnL((($D$7*(1+AA$2))+($D$5-$D$6)),$E99,(RiskSlide!$A$7),($G99+AA$3),((RiskSlide!$A$12)/260),$C99,$B99,RiskSlide!$H128)</f>
        <v>-92.579665968187939</v>
      </c>
      <c r="AB99">
        <f>PnL((($D$7*(1+AB$2))+($D$5-$D$6)),$E99,(RiskSlide!$A$7),($G99+AB$3),((RiskSlide!$A$12)/260),$C99,$B99,RiskSlide!$H128)</f>
        <v>-92.57966629975698</v>
      </c>
      <c r="AC99">
        <f>PnL((($D$7*(1+AC$2))+($D$5-$D$6)),$E99,(RiskSlide!$A$7),($G99+AC$3),((RiskSlide!$A$12)/260),$C99,$B99,RiskSlide!$H128)</f>
        <v>463.76742375548332</v>
      </c>
      <c r="AD99">
        <f>PnL((($D$7*(1+AD$2))+($D$5-$D$6)),$E99,(RiskSlide!$A$7),($G99+AD$3),((RiskSlide!$A$12)/260),$C99,$B99,RiskSlide!$H128)</f>
        <v>144.62938729688517</v>
      </c>
      <c r="AE99">
        <f>PnL((($D$7*(1+AE$2))+($D$5-$D$6)),$E99,(RiskSlide!$A$7),($G99+AE$3),((RiskSlide!$A$12)/260),$C99,$B99,RiskSlide!$H128)</f>
        <v>-23.333813536794423</v>
      </c>
      <c r="AF99">
        <f>PnL((($D$7*(1+AF$2))+($D$5-$D$6)),$E99,(RiskSlide!$A$7),($G99+AF$3),((RiskSlide!$A$12)/260),$C99,$B99,RiskSlide!$H128)</f>
        <v>-37.200880992642738</v>
      </c>
      <c r="AG99">
        <f>PnL((($D$7*(1+AG$2))+($D$5-$D$6)),$E99,(RiskSlide!$A$7),($G99+AG$3),((RiskSlide!$A$12)/260),$C99,$B99,RiskSlide!$H128)</f>
        <v>-49.354994288563603</v>
      </c>
      <c r="AH99">
        <f>PnL((($D$7*(1+AH$2))+($D$5-$D$6)),$E99,(RiskSlide!$A$7),($G99+AH$3),((RiskSlide!$A$12)/260),$C99,$B99,RiskSlide!$H128)</f>
        <v>-59.797663902069687</v>
      </c>
      <c r="AI99">
        <f>PnL((($D$7*(1+AI$2))+($D$5-$D$6)),$E99,(RiskSlide!$A$7),($G99+AI$3),((RiskSlide!$A$12)/260),$C99,$B99,RiskSlide!$H128)</f>
        <v>-68.555947407110551</v>
      </c>
      <c r="AJ99">
        <f>PnL((($D$7*(1+AJ$2))+($D$5-$D$6)),$E99,(RiskSlide!$A$7),($G99+AJ$3),((RiskSlide!$A$12)/260),$C99,$B99,RiskSlide!$H128)</f>
        <v>-92.460733067168647</v>
      </c>
      <c r="AK99">
        <f>PnL((($D$7*(1+AK$2))+($D$5-$D$6)),$E99,(RiskSlide!$A$7),($G99+AK$3),((RiskSlide!$A$12)/260),$C99,$B99,RiskSlide!$H128)</f>
        <v>-92.57966629975698</v>
      </c>
      <c r="AL99">
        <f>PnL((($D$7*(1+AL$2))+($D$5-$D$6)),$E99,(RiskSlide!$A$7),($G99+AL$3),((RiskSlide!$A$12)/260),$C99,$B99,RiskSlide!$H128)</f>
        <v>553.79498784014481</v>
      </c>
      <c r="AM99">
        <f>PnL((($D$7*(1+AM$2))+($D$5-$D$6)),$E99,(RiskSlide!$A$7),($G99+AM$3),((RiskSlide!$A$12)/260),$C99,$B99,RiskSlide!$H128)</f>
        <v>202.92848640079768</v>
      </c>
      <c r="AN99">
        <f>PnL((($D$7*(1+AN$2))+($D$5-$D$6)),$E99,(RiskSlide!$A$7),($G99+AN$3),((RiskSlide!$A$12)/260),$C99,$B99,RiskSlide!$H128)</f>
        <v>4.7624684852522137</v>
      </c>
      <c r="AO99">
        <f>PnL((($D$7*(1+AO$2))+($D$5-$D$6)),$E99,(RiskSlide!$A$7),($G99+AO$3),((RiskSlide!$A$12)/260),$C99,$B99,RiskSlide!$H128)</f>
        <v>-12.840247199501675</v>
      </c>
      <c r="AP99">
        <f>PnL((($D$7*(1+AP$2))+($D$5-$D$6)),$E99,(RiskSlide!$A$7),($G99+AP$3),((RiskSlide!$A$12)/260),$C99,$B99,RiskSlide!$H128)</f>
        <v>-28.621750742251351</v>
      </c>
      <c r="AQ99">
        <f>PnL((($D$7*(1+AQ$2))+($D$5-$D$6)),$E99,(RiskSlide!$A$7),($G99+AQ$3),((RiskSlide!$A$12)/260),$C99,$B99,RiskSlide!$H128)</f>
        <v>-42.538845140276038</v>
      </c>
      <c r="AR99">
        <f>PnL((($D$7*(1+AR$2))+($D$5-$D$6)),$E99,(RiskSlide!$A$7),($G99+AR$3),((RiskSlide!$A$12)/260),$C99,$B99,RiskSlide!$H128)</f>
        <v>-54.568750036058589</v>
      </c>
      <c r="AS99">
        <f>PnL((($D$7*(1+AS$2))+($D$5-$D$6)),$E99,(RiskSlide!$A$7),($G99+AS$3),((RiskSlide!$A$12)/260),$C99,$B99,RiskSlide!$H128)</f>
        <v>-92.199388965221715</v>
      </c>
      <c r="AT99">
        <f>PnL((($D$7*(1+AT$2))+($D$5-$D$6)),$E99,(RiskSlide!$A$7),($G99+AT$3),((RiskSlide!$A$12)/260),$C99,$B99,RiskSlide!$H128)</f>
        <v>-92.57966629975698</v>
      </c>
      <c r="AU99">
        <f>PnL((($D$7*(1+AU$2))+($D$5-$D$6)),$E99,(RiskSlide!$A$7),($G99+AU$3),((RiskSlide!$A$12)/260),$C99,$B99,RiskSlide!$H128)</f>
        <v>654.36904598063416</v>
      </c>
      <c r="AV99">
        <f>PnL((($D$7*(1+AV$2))+($D$5-$D$6)),$E99,(RiskSlide!$A$7),($G99+AV$3),((RiskSlide!$A$12)/260),$C99,$B99,RiskSlide!$H128)</f>
        <v>272.04146488673331</v>
      </c>
      <c r="AW99">
        <f>PnL((($D$7*(1+AW$2))+($D$5-$D$6)),$E99,(RiskSlide!$A$7),($G99+AW$3),((RiskSlide!$A$12)/260),$C99,$B99,RiskSlide!$H128)</f>
        <v>41.807854786966914</v>
      </c>
      <c r="AX99">
        <f>PnL((($D$7*(1+AX$2))+($D$5-$D$6)),$E99,(RiskSlide!$A$7),($G99+AX$3),((RiskSlide!$A$12)/260),$C99,$B99,RiskSlide!$H128)</f>
        <v>19.976397955196035</v>
      </c>
      <c r="AY99">
        <f>PnL((($D$7*(1+AY$2))+($D$5-$D$6)),$E99,(RiskSlide!$A$7),($G99+AY$3),((RiskSlide!$A$12)/260),$C99,$B99,RiskSlide!$H128)</f>
        <v>0</v>
      </c>
      <c r="AZ99">
        <f>PnL((($D$7*(1+AZ$2))+($D$5-$D$6)),$E99,(RiskSlide!$A$7),($G99+AZ$3),((RiskSlide!$A$12)/260),$C99,$B99,RiskSlide!$H128)</f>
        <v>-18.035189182136691</v>
      </c>
      <c r="BA99">
        <f>PnL((($D$7*(1+BA$2))+($D$5-$D$6)),$E99,(RiskSlide!$A$7),($G99+BA$3),((RiskSlide!$A$12)/260),$C99,$B99,RiskSlide!$H128)</f>
        <v>-34.055006808739563</v>
      </c>
      <c r="BB99">
        <f>PnL((($D$7*(1+BB$2))+($D$5-$D$6)),$E99,(RiskSlide!$A$7),($G99+BB$3),((RiskSlide!$A$12)/260),$C99,$B99,RiskSlide!$H128)</f>
        <v>-91.467381752805949</v>
      </c>
      <c r="BC99">
        <f>PnL((($D$7*(1+BC$2))+($D$5-$D$6)),$E99,(RiskSlide!$A$7),($G99+BC$3),((RiskSlide!$A$12)/260),$C99,$B99,RiskSlide!$H128)</f>
        <v>-92.57966629975698</v>
      </c>
      <c r="BD99">
        <f>PnL((($D$7*(1+BD$2))+($D$5-$D$6)),$E99,(RiskSlide!$A$7),($G99+BD$3),((RiskSlide!$A$12)/260),$C99,$B99,RiskSlide!$H128)</f>
        <v>766.0971931628651</v>
      </c>
      <c r="BE99">
        <f>PnL((($D$7*(1+BE$2))+($D$5-$D$6)),$E99,(RiskSlide!$A$7),($G99+BE$3),((RiskSlide!$A$12)/260),$C99,$B99,RiskSlide!$H128)</f>
        <v>353.15188812426612</v>
      </c>
      <c r="BF99">
        <f>PnL((($D$7*(1+BF$2))+($D$5-$D$6)),$E99,(RiskSlide!$A$7),($G99+BF$3),((RiskSlide!$A$12)/260),$C99,$B99,RiskSlide!$H128)</f>
        <v>89.733110309467179</v>
      </c>
      <c r="BG99">
        <f>PnL((($D$7*(1+BG$2))+($D$5-$D$6)),$E99,(RiskSlide!$A$7),($G99+BG$3),((RiskSlide!$A$12)/260),$C99,$B99,RiskSlide!$H128)</f>
        <v>63.270144878867995</v>
      </c>
      <c r="BH99">
        <f>PnL((($D$7*(1+BH$2))+($D$5-$D$6)),$E99,(RiskSlide!$A$7),($G99+BH$3),((RiskSlide!$A$12)/260),$C99,$B99,RiskSlide!$H128)</f>
        <v>38.610467855713182</v>
      </c>
      <c r="BI99">
        <f>PnL((($D$7*(1+BI$2))+($D$5-$D$6)),$E99,(RiskSlide!$A$7),($G99+BI$3),((RiskSlide!$A$12)/260),$C99,$B99,RiskSlide!$H128)</f>
        <v>15.875194024613393</v>
      </c>
      <c r="BJ99">
        <f>PnL((($D$7*(1+BJ$2))+($D$5-$D$6)),$E99,(RiskSlide!$A$7),($G99+BJ$3),((RiskSlide!$A$12)/260),$C99,$B99,RiskSlide!$H128)</f>
        <v>-4.8163928112899157</v>
      </c>
      <c r="BK99">
        <f>PnL((($D$7*(1+BK$2))+($D$5-$D$6)),$E99,(RiskSlide!$A$7),($G99+BK$3),((RiskSlide!$A$12)/260),$C99,$B99,RiskSlide!$H128)</f>
        <v>-89.595643528484374</v>
      </c>
      <c r="BL99">
        <f>PnL((($D$7*(1+BL$2))+($D$5-$D$6)),$E99,(RiskSlide!$A$7),($G99+BL$3),((RiskSlide!$A$12)/260),$C99,$B99,RiskSlide!$H128)</f>
        <v>-92.57966629975698</v>
      </c>
      <c r="BM99">
        <f>PnL((($D$7*(1+BM$2))+($D$5-$D$6)),$E99,(RiskSlide!$A$7),($G99+BM$3),((RiskSlide!$A$12)/260),$C99,$B99,RiskSlide!$H128)</f>
        <v>889.54202309176799</v>
      </c>
      <c r="BN99">
        <f>PnL((($D$7*(1+BN$2))+($D$5-$D$6)),$E99,(RiskSlide!$A$7),($G99+BN$3),((RiskSlide!$A$12)/260),$C99,$B99,RiskSlide!$H128)</f>
        <v>447.41467246818019</v>
      </c>
      <c r="BO99">
        <f>PnL((($D$7*(1+BO$2))+($D$5-$D$6)),$E99,(RiskSlide!$A$7),($G99+BO$3),((RiskSlide!$A$12)/260),$C99,$B99,RiskSlide!$H128)</f>
        <v>150.60031285809288</v>
      </c>
      <c r="BP99">
        <f>PnL((($D$7*(1+BP$2))+($D$5-$D$6)),$E99,(RiskSlide!$A$7),($G99+BP$3),((RiskSlide!$A$12)/260),$C99,$B99,RiskSlide!$H128)</f>
        <v>119.23933222151533</v>
      </c>
      <c r="BQ99">
        <f>PnL((($D$7*(1+BQ$2))+($D$5-$D$6)),$E99,(RiskSlide!$A$7),($G99+BQ$3),((RiskSlide!$A$12)/260),$C99,$B99,RiskSlide!$H128)</f>
        <v>89.542206397823065</v>
      </c>
      <c r="BR99">
        <f>PnL((($D$7*(1+BR$2))+($D$5-$D$6)),$E99,(RiskSlide!$A$7),($G99+BR$3),((RiskSlide!$A$12)/260),$C99,$B99,RiskSlide!$H128)</f>
        <v>61.651663193258344</v>
      </c>
      <c r="BS99">
        <f>PnL((($D$7*(1+BS$2))+($D$5-$D$6)),$E99,(RiskSlide!$A$7),($G99+BS$3),((RiskSlide!$A$12)/260),$C99,$B99,RiskSlide!$H128)</f>
        <v>35.718397003525126</v>
      </c>
      <c r="BT99">
        <f>PnL((($D$7*(1+BT$2))+($D$5-$D$6)),$E99,(RiskSlide!$A$7),($G99+BT$3),((RiskSlide!$A$12)/260),$C99,$B99,RiskSlide!$H128)</f>
        <v>-85.216259218540984</v>
      </c>
      <c r="BU99">
        <f>PnL((($D$7*(1+BU$2))+($D$5-$D$6)),$E99,(RiskSlide!$A$7),($G99+BU$3),((RiskSlide!$A$12)/260),$C99,$B99,RiskSlide!$H128)</f>
        <v>-92.57966629975698</v>
      </c>
      <c r="BV99">
        <f>PnL((($D$7*(1+BV$2))+($D$5-$D$6)),$E99,(RiskSlide!$A$7),($G99+BV$3),((RiskSlide!$A$12)/260),$C99,$B99,RiskSlide!$H128)</f>
        <v>2345.4558001868081</v>
      </c>
      <c r="BW99">
        <f>PnL((($D$7*(1+BW$2))+($D$5-$D$6)),$E99,(RiskSlide!$A$7),($G99+BW$3),((RiskSlide!$A$12)/260),$C99,$B99,RiskSlide!$H128)</f>
        <v>1782.2214273031946</v>
      </c>
      <c r="BX99">
        <f>PnL((($D$7*(1+BX$2))+($D$5-$D$6)),$E99,(RiskSlide!$A$7),($G99+BX$3),((RiskSlide!$A$12)/260),$C99,$B99,RiskSlide!$H128)</f>
        <v>1332.0607289053228</v>
      </c>
      <c r="BY99">
        <f>PnL((($D$7*(1+BY$2))+($D$5-$D$6)),$E99,(RiskSlide!$A$7),($G99+BY$3),((RiskSlide!$A$12)/260),$C99,$B99,RiskSlide!$H128)</f>
        <v>1275.8454393530385</v>
      </c>
      <c r="BZ99">
        <f>PnL((($D$7*(1+BZ$2))+($D$5-$D$6)),$E99,(RiskSlide!$A$7),($G99+BZ$3),((RiskSlide!$A$12)/260),$C99,$B99,RiskSlide!$H128)</f>
        <v>1219.6486643220467</v>
      </c>
      <c r="CA99">
        <f>PnL((($D$7*(1+CA$2))+($D$5-$D$6)),$E99,(RiskSlide!$A$7),($G99+CA$3),((RiskSlide!$A$12)/260),$C99,$B99,RiskSlide!$H128)</f>
        <v>1163.473338996512</v>
      </c>
      <c r="CB99">
        <f>PnL((($D$7*(1+CB$2))+($D$5-$D$6)),$E99,(RiskSlide!$A$7),($G99+CB$3),((RiskSlide!$A$12)/260),$C99,$B99,RiskSlide!$H128)</f>
        <v>1107.3230133607083</v>
      </c>
      <c r="CC99">
        <f>PnL((($D$7*(1+CC$2))+($D$5-$D$6)),$E99,(RiskSlide!$A$7),($G99+CC$3),((RiskSlide!$A$12)/260),$C99,$B99,RiskSlide!$H128)</f>
        <v>659.87237090429994</v>
      </c>
      <c r="CD99">
        <f>PnL((($D$7*(1+CD$2))+($D$5-$D$6)),$E99,(RiskSlide!$A$7),($G99+CD$3),((RiskSlide!$A$12)/260),$C99,$B99,RiskSlide!$H128)</f>
        <v>174.01685728979857</v>
      </c>
      <c r="CE99">
        <f>PnL((($D$7*(1+CE$2))+($D$5-$D$6)),$E99,(RiskSlide!$A$7),($G99+CE$3),((RiskSlide!$A$12)/260),$C99,$B99,RiskSlide!$H128)</f>
        <v>5339.7283330149048</v>
      </c>
      <c r="CF99">
        <f>PnL((($D$7*(1+CF$2))+($D$5-$D$6)),$E99,(RiskSlide!$A$7),($G99+CF$3),((RiskSlide!$A$12)/260),$C99,$B99,RiskSlide!$H128)</f>
        <v>4960.5071795157255</v>
      </c>
      <c r="CG99">
        <f>PnL((($D$7*(1+CG$2))+($D$5-$D$6)),$E99,(RiskSlide!$A$7),($G99+CG$3),((RiskSlide!$A$12)/260),$C99,$B99,RiskSlide!$H128)</f>
        <v>4741.7754405764481</v>
      </c>
      <c r="CH99">
        <f>PnL((($D$7*(1+CH$2))+($D$5-$D$6)),$E99,(RiskSlide!$A$7),($G99+CH$3),((RiskSlide!$A$12)/260),$C99,$B99,RiskSlide!$H128)</f>
        <v>4721.9228555312338</v>
      </c>
      <c r="CI99">
        <f>PnL((($D$7*(1+CI$2))+($D$5-$D$6)),$E99,(RiskSlide!$A$7),($G99+CI$3),((RiskSlide!$A$12)/260),$C99,$B99,RiskSlide!$H128)</f>
        <v>4704.0044229904379</v>
      </c>
      <c r="CJ99">
        <f>PnL((($D$7*(1+CJ$2))+($D$5-$D$6)),$E99,(RiskSlide!$A$7),($G99+CJ$3),((RiskSlide!$A$12)/260),$C99,$B99,RiskSlide!$H128)</f>
        <v>4688.0803551528697</v>
      </c>
      <c r="CK99">
        <f>PnL((($D$7*(1+CK$2))+($D$5-$D$6)),$E99,(RiskSlide!$A$7),($G99+CK$3),((RiskSlide!$A$12)/260),$C99,$B99,RiskSlide!$H128)</f>
        <v>4674.191906119172</v>
      </c>
      <c r="CL99">
        <f>PnL((($D$7*(1+CL$2))+($D$5-$D$6)),$E99,(RiskSlide!$A$7),($G99+CL$3),((RiskSlide!$A$12)/260),$C99,$B99,RiskSlide!$H128)</f>
        <v>4628.8285332738569</v>
      </c>
      <c r="CM99">
        <f>PnL((($D$7*(1+CM$2))+($D$5-$D$6)),$E99,(RiskSlide!$A$7),($G99+CM$3),((RiskSlide!$A$12)/260),$C99,$B99,RiskSlide!$H128)</f>
        <v>4628.2616344595981</v>
      </c>
    </row>
    <row r="100" spans="1:91" x14ac:dyDescent="0.25">
      <c r="J100" t="s">
        <v>121</v>
      </c>
      <c r="K100">
        <f>SUM(K5:K99)</f>
        <v>-38249.820728733372</v>
      </c>
      <c r="L100">
        <f t="shared" ref="L100:BW100" si="4">SUM(L5:L99)</f>
        <v>-33601.1075080632</v>
      </c>
      <c r="M100">
        <f t="shared" si="4"/>
        <v>-30326.642056611348</v>
      </c>
      <c r="N100">
        <f t="shared" si="4"/>
        <v>-29968.243551355692</v>
      </c>
      <c r="O100">
        <f t="shared" si="4"/>
        <v>-29624.285270751381</v>
      </c>
      <c r="P100">
        <f t="shared" si="4"/>
        <v>-29295.726364273109</v>
      </c>
      <c r="Q100">
        <f t="shared" si="4"/>
        <v>-28983.483826440781</v>
      </c>
      <c r="R100">
        <f t="shared" si="4"/>
        <v>-27135.211294039604</v>
      </c>
      <c r="S100">
        <f t="shared" si="4"/>
        <v>-26031.802424239682</v>
      </c>
      <c r="T100">
        <f t="shared" si="4"/>
        <v>-11186.505649835082</v>
      </c>
      <c r="U100">
        <f t="shared" si="4"/>
        <v>-5950.4146834962912</v>
      </c>
      <c r="V100">
        <f t="shared" si="4"/>
        <v>-951.53014832094277</v>
      </c>
      <c r="W100">
        <f t="shared" si="4"/>
        <v>-277.97829657149674</v>
      </c>
      <c r="X100">
        <f t="shared" si="4"/>
        <v>405.84461308147706</v>
      </c>
      <c r="Y100">
        <f t="shared" si="4"/>
        <v>1099.9797909040526</v>
      </c>
      <c r="Z100">
        <f t="shared" si="4"/>
        <v>1804.6240032870462</v>
      </c>
      <c r="AA100">
        <f t="shared" si="4"/>
        <v>7879.6308482100185</v>
      </c>
      <c r="AB100">
        <f t="shared" si="4"/>
        <v>15986.279212162091</v>
      </c>
      <c r="AC100">
        <f t="shared" si="4"/>
        <v>-4774.7342797195697</v>
      </c>
      <c r="AD100">
        <f t="shared" si="4"/>
        <v>-1643.1080064933828</v>
      </c>
      <c r="AE100">
        <f t="shared" si="4"/>
        <v>-11.462093347696509</v>
      </c>
      <c r="AF100">
        <f t="shared" si="4"/>
        <v>170.21954754179973</v>
      </c>
      <c r="AG100">
        <f t="shared" si="4"/>
        <v>351.54179536441052</v>
      </c>
      <c r="AH100">
        <f t="shared" si="4"/>
        <v>533.52340178388431</v>
      </c>
      <c r="AI100">
        <f t="shared" si="4"/>
        <v>716.83697374319468</v>
      </c>
      <c r="AJ100">
        <f t="shared" si="4"/>
        <v>2107.2169294539153</v>
      </c>
      <c r="AK100">
        <f t="shared" si="4"/>
        <v>2381.7453387272717</v>
      </c>
      <c r="AL100">
        <f t="shared" si="4"/>
        <v>-5185.6629703496637</v>
      </c>
      <c r="AM100">
        <f t="shared" si="4"/>
        <v>-1658.8642464966347</v>
      </c>
      <c r="AN100">
        <f t="shared" si="4"/>
        <v>-121.87377117005946</v>
      </c>
      <c r="AO100">
        <f t="shared" si="4"/>
        <v>13.589942059881764</v>
      </c>
      <c r="AP100">
        <f t="shared" si="4"/>
        <v>141.33434921204818</v>
      </c>
      <c r="AQ100">
        <f t="shared" si="4"/>
        <v>262.8950975350624</v>
      </c>
      <c r="AR100">
        <f t="shared" si="4"/>
        <v>379.64184628283499</v>
      </c>
      <c r="AS100">
        <f t="shared" si="4"/>
        <v>1117.533365499771</v>
      </c>
      <c r="AT100">
        <f t="shared" si="4"/>
        <v>99.457244923630185</v>
      </c>
      <c r="AU100">
        <f t="shared" si="4"/>
        <v>-6144.6252631800853</v>
      </c>
      <c r="AV100">
        <f t="shared" si="4"/>
        <v>-1964.2964271653002</v>
      </c>
      <c r="AW100">
        <f t="shared" si="4"/>
        <v>-232.15760554435752</v>
      </c>
      <c r="AX100">
        <f t="shared" si="4"/>
        <v>-107.73129501884807</v>
      </c>
      <c r="AY100">
        <f t="shared" si="4"/>
        <v>0</v>
      </c>
      <c r="AZ100">
        <f t="shared" si="4"/>
        <v>92.667052149179455</v>
      </c>
      <c r="BA100">
        <f t="shared" si="4"/>
        <v>171.99166548750588</v>
      </c>
      <c r="BB100">
        <f t="shared" si="4"/>
        <v>428.82128799809686</v>
      </c>
      <c r="BC100">
        <f t="shared" si="4"/>
        <v>-2503.9845571020956</v>
      </c>
      <c r="BD100">
        <f t="shared" si="4"/>
        <v>-7803.0053022355223</v>
      </c>
      <c r="BE100">
        <f t="shared" si="4"/>
        <v>-2738.292222512237</v>
      </c>
      <c r="BF100">
        <f t="shared" si="4"/>
        <v>-476.7534004690674</v>
      </c>
      <c r="BG100">
        <f t="shared" si="4"/>
        <v>-315.02982312547101</v>
      </c>
      <c r="BH100">
        <f t="shared" si="4"/>
        <v>-178.83747486583758</v>
      </c>
      <c r="BI100">
        <f t="shared" si="4"/>
        <v>-67.052291089536709</v>
      </c>
      <c r="BJ100">
        <f t="shared" si="4"/>
        <v>21.765340077174812</v>
      </c>
      <c r="BK100">
        <f t="shared" si="4"/>
        <v>127.52918343204379</v>
      </c>
      <c r="BL100">
        <f t="shared" si="4"/>
        <v>-4438.7712989075726</v>
      </c>
      <c r="BM100">
        <f t="shared" si="4"/>
        <v>-10327.686254359709</v>
      </c>
      <c r="BN100">
        <f t="shared" si="4"/>
        <v>-4214.3921194782961</v>
      </c>
      <c r="BO100">
        <f t="shared" si="4"/>
        <v>-1099.0803303139696</v>
      </c>
      <c r="BP100">
        <f t="shared" si="4"/>
        <v>-844.83147950498505</v>
      </c>
      <c r="BQ100">
        <f t="shared" si="4"/>
        <v>-622.23878280515987</v>
      </c>
      <c r="BR100">
        <f t="shared" si="4"/>
        <v>-431.18935638481577</v>
      </c>
      <c r="BS100">
        <f t="shared" si="4"/>
        <v>-271.20361780917989</v>
      </c>
      <c r="BT100">
        <f t="shared" si="4"/>
        <v>126.95573734672004</v>
      </c>
      <c r="BU100">
        <f t="shared" si="4"/>
        <v>-1051.5381319109479</v>
      </c>
      <c r="BV100">
        <f t="shared" si="4"/>
        <v>-78038.100088028397</v>
      </c>
      <c r="BW100">
        <f t="shared" si="4"/>
        <v>-70391.539505126741</v>
      </c>
      <c r="BX100">
        <f t="shared" ref="BX100:CM100" si="5">SUM(BX5:BX99)</f>
        <v>-65609.591498511232</v>
      </c>
      <c r="BY100">
        <f t="shared" si="5"/>
        <v>-65127.761109524086</v>
      </c>
      <c r="BZ100">
        <f t="shared" si="5"/>
        <v>-64676.947754261077</v>
      </c>
      <c r="CA100">
        <f t="shared" si="5"/>
        <v>-64259.071101389949</v>
      </c>
      <c r="CB100">
        <f t="shared" si="5"/>
        <v>-63876.208111132219</v>
      </c>
      <c r="CC100">
        <f t="shared" si="5"/>
        <v>-62381.853379605076</v>
      </c>
      <c r="CD100">
        <f t="shared" si="5"/>
        <v>-63981.082330692981</v>
      </c>
      <c r="CE100">
        <f t="shared" si="5"/>
        <v>-264869.80702609982</v>
      </c>
      <c r="CF100">
        <f t="shared" si="5"/>
        <v>-266656.34675358084</v>
      </c>
      <c r="CG100">
        <f t="shared" si="5"/>
        <v>-268123.49500016629</v>
      </c>
      <c r="CH100">
        <f t="shared" si="5"/>
        <v>-268264.09801396518</v>
      </c>
      <c r="CI100">
        <f t="shared" si="5"/>
        <v>-268390.76039635122</v>
      </c>
      <c r="CJ100">
        <f t="shared" si="5"/>
        <v>-268502.66076156095</v>
      </c>
      <c r="CK100">
        <f t="shared" si="5"/>
        <v>-268599.27204279118</v>
      </c>
      <c r="CL100">
        <f t="shared" si="5"/>
        <v>-268892.67808791786</v>
      </c>
      <c r="CM100">
        <f t="shared" si="5"/>
        <v>-268895.0014143273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7:Y25"/>
  <sheetViews>
    <sheetView workbookViewId="0">
      <selection activeCell="C8" sqref="C8"/>
    </sheetView>
  </sheetViews>
  <sheetFormatPr defaultRowHeight="15" x14ac:dyDescent="0.25"/>
  <cols>
    <col min="6" max="6" width="19" customWidth="1"/>
  </cols>
  <sheetData>
    <row r="7" spans="6:25" x14ac:dyDescent="0.25">
      <c r="H7" s="19" t="s">
        <v>123</v>
      </c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5"/>
    </row>
    <row r="8" spans="6:25" x14ac:dyDescent="0.25">
      <c r="H8">
        <v>-0.02</v>
      </c>
      <c r="I8">
        <v>-1.7500000000000002E-2</v>
      </c>
      <c r="J8">
        <v>-1.4999999999999999E-2</v>
      </c>
      <c r="K8">
        <v>-1.2500000000000001E-2</v>
      </c>
      <c r="L8">
        <v>-0.01</v>
      </c>
      <c r="M8">
        <v>-7.4999999999999997E-3</v>
      </c>
      <c r="N8">
        <v>-5.0000000000000001E-3</v>
      </c>
      <c r="O8">
        <v>-2.5000000000000001E-3</v>
      </c>
      <c r="P8">
        <v>0</v>
      </c>
      <c r="Q8">
        <v>2.5000000000000001E-3</v>
      </c>
      <c r="R8">
        <v>5.0000000000000001E-3</v>
      </c>
      <c r="S8">
        <v>7.4999999999999997E-3</v>
      </c>
      <c r="T8">
        <v>0.01</v>
      </c>
      <c r="U8">
        <v>1.2500000000000001E-2</v>
      </c>
      <c r="V8">
        <v>1.4999999999999999E-2</v>
      </c>
      <c r="W8">
        <v>1.7500000000000002E-2</v>
      </c>
      <c r="X8">
        <v>0.02</v>
      </c>
    </row>
    <row r="9" spans="6:25" x14ac:dyDescent="0.25">
      <c r="F9" s="16" t="s">
        <v>122</v>
      </c>
      <c r="G9">
        <v>0.02</v>
      </c>
    </row>
    <row r="10" spans="6:25" x14ac:dyDescent="0.25">
      <c r="F10" s="16"/>
      <c r="G10">
        <v>1.7500000000000002E-2</v>
      </c>
    </row>
    <row r="11" spans="6:25" x14ac:dyDescent="0.25">
      <c r="F11" s="16"/>
      <c r="G11">
        <v>1.4999999999999999E-2</v>
      </c>
    </row>
    <row r="12" spans="6:25" x14ac:dyDescent="0.25">
      <c r="F12" s="16"/>
      <c r="G12">
        <v>1.2500000000000001E-2</v>
      </c>
    </row>
    <row r="13" spans="6:25" x14ac:dyDescent="0.25">
      <c r="F13" s="16"/>
      <c r="G13">
        <v>0.01</v>
      </c>
    </row>
    <row r="14" spans="6:25" x14ac:dyDescent="0.25">
      <c r="F14" s="16"/>
      <c r="G14">
        <v>7.4999999999999997E-3</v>
      </c>
    </row>
    <row r="15" spans="6:25" x14ac:dyDescent="0.25">
      <c r="F15" s="16"/>
      <c r="G15">
        <v>5.0000000000000001E-3</v>
      </c>
    </row>
    <row r="16" spans="6:25" x14ac:dyDescent="0.25">
      <c r="F16" s="16"/>
      <c r="G16">
        <v>2.5000000000000001E-3</v>
      </c>
    </row>
    <row r="17" spans="6:7" x14ac:dyDescent="0.25">
      <c r="F17" s="16"/>
      <c r="G17">
        <v>0</v>
      </c>
    </row>
    <row r="18" spans="6:7" x14ac:dyDescent="0.25">
      <c r="G18">
        <v>-2.5000000000000001E-3</v>
      </c>
    </row>
    <row r="19" spans="6:7" x14ac:dyDescent="0.25">
      <c r="G19">
        <v>-5.0000000000000001E-3</v>
      </c>
    </row>
    <row r="20" spans="6:7" x14ac:dyDescent="0.25">
      <c r="G20">
        <v>-7.4999999999999997E-3</v>
      </c>
    </row>
    <row r="21" spans="6:7" x14ac:dyDescent="0.25">
      <c r="G21">
        <v>-0.01</v>
      </c>
    </row>
    <row r="22" spans="6:7" x14ac:dyDescent="0.25">
      <c r="G22">
        <v>-1.2500000000000001E-2</v>
      </c>
    </row>
    <row r="23" spans="6:7" x14ac:dyDescent="0.25">
      <c r="G23">
        <v>-1.4999999999999999E-2</v>
      </c>
    </row>
    <row r="24" spans="6:7" x14ac:dyDescent="0.25">
      <c r="G24">
        <v>-1.7500000000000002E-2</v>
      </c>
    </row>
    <row r="25" spans="6:7" x14ac:dyDescent="0.25">
      <c r="G25">
        <v>-0.02</v>
      </c>
    </row>
  </sheetData>
  <mergeCells count="2">
    <mergeCell ref="F9:F17"/>
    <mergeCell ref="H7:X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RiskSlide</vt:lpstr>
      <vt:lpstr>CalculationSheet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jdoe</dc:creator>
  <cp:lastModifiedBy>Grant DePalma</cp:lastModifiedBy>
  <dcterms:created xsi:type="dcterms:W3CDTF">2013-12-30T17:04:38Z</dcterms:created>
  <dcterms:modified xsi:type="dcterms:W3CDTF">2020-05-26T17:10:31Z</dcterms:modified>
</cp:coreProperties>
</file>